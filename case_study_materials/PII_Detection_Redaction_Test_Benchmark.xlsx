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71a82170f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eb654dfe94e4076"/>
    <x:sheet xmlns:r="http://schemas.openxmlformats.org/officeDocument/2006/relationships" name="Test Cases" sheetId="2" r:id="R58aac7ad4db946b0"/>
    <x:sheet xmlns:r="http://schemas.openxmlformats.org/officeDocument/2006/relationships" name="Gold Entities" sheetId="3" r:id="R297c806183f0447a"/>
    <x:sheet xmlns:r="http://schemas.openxmlformats.org/officeDocument/2006/relationships" name="Coverage Guide" sheetId="4" r:id="Rbcddbb729ac1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EEF7F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80b1bb028428b" /><Relationship Type="http://schemas.openxmlformats.org/officeDocument/2006/relationships/theme" Target="/xl/theme/theme1.xml" Id="Rffe1f0d8e26846f7" /><Relationship Type="http://schemas.openxmlformats.org/officeDocument/2006/relationships/sharedStrings" Target="/xl/sharedStrings.xml" Id="Red75b305e97845e1" /><Relationship Type="http://schemas.openxmlformats.org/officeDocument/2006/relationships/worksheet" Target="/xl/worksheets/sheet1.xml" Id="R3eb654dfe94e4076" /><Relationship Type="http://schemas.openxmlformats.org/officeDocument/2006/relationships/worksheet" Target="/xl/worksheets/sheet2.xml" Id="R58aac7ad4db946b0" /><Relationship Type="http://schemas.openxmlformats.org/officeDocument/2006/relationships/worksheet" Target="/xl/worksheets/sheet3.xml" Id="R297c806183f0447a" /><Relationship Type="http://schemas.openxmlformats.org/officeDocument/2006/relationships/worksheet" Target="/xl/worksheets/sheet4.xml" Id="Rbcddbb729ac14b89" /></Relationships>
</file>

<file path=xl/tables/table1.xml><?xml version="1.0" encoding="utf-8"?>
<x:table xmlns:x="http://schemas.openxmlformats.org/spreadsheetml/2006/main" id="1" name="PIITestCases" displayName="PIITestCases" ref="A4:O32" headerRowCount="1" totalsRowCount="0" totalsRowShown="0">
  <x:tableColumns count="15">
    <x:tableColumn id="1" name="Case ID"/>
    <x:tableColumn id="2" name="Input Type"/>
    <x:tableColumn id="3" name="Scenario"/>
    <x:tableColumn id="4" name="Difficulty"/>
    <x:tableColumn id="5" name="Input Text (Synthetic)"/>
    <x:tableColumn id="6" name="Expected PII Entities"/>
    <x:tableColumn id="7" name="Expected PII Count"/>
    <x:tableColumn id="8" name="Expected Redacted Text"/>
    <x:tableColumn id="9" name="Expected Behavior / Test Objective"/>
    <x:tableColumn id="10" name="Actual Detected Entities"/>
    <x:tableColumn id="11" name="Actual PII Count"/>
    <x:tableColumn id="12" name="Actual Redacted Text"/>
    <x:tableColumn id="13" name="Redacted Output Check"/>
    <x:tableColumn id="14" name="Count Check"/>
    <x:tableColumn id="15" name="Overall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titySpans" displayName="GoldEntitySpans" ref="A4:H53" headerRowCount="1" totalsRowCount="0" totalsRowShown="0">
  <x:tableColumns count="8">
    <x:tableColumn id="1" name="Case ID"/>
    <x:tableColumn id="2" name="Occurrence #"/>
    <x:tableColumn id="3" name="Exact Entity Text"/>
    <x:tableColumn id="4" name="Expected Category"/>
    <x:tableColumn id="5" name="Expected Replacement"/>
    <x:tableColumn id="6" name="Start Index (0-based)"/>
    <x:tableColumn id="7" name="End Index (exclusive)"/>
    <x:tableColumn id="8" name="Sensitivity /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Guide" displayName="CoverageGuide" ref="A3:D18" headerRowCount="1" totalsRowCount="0" totalsRowShown="0">
  <x:tableColumns count="4">
    <x:tableColumn id="1" name="Capability"/>
    <x:tableColumn id="2" name="Covered by test cases"/>
    <x:tableColumn id="3" name="What a good result looks like"/>
    <x:tableColumn id="4" name="Limitation / follow-up t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183ee459e64b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0b30fd44f544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44e3b41cd842ce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32" customHeight="1">
      <x:c r="A1" s="5" t="str">
        <x:v>PII Detection &amp; Redaction — Synthetic Test Benchmark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Use this workbook to test a local Case Study 2 prototype for PII detection, secure redaction, and output validation. All data is synthetic.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Topic</x:v>
      </x:c>
      <x:c r="B4" s="21" t="str">
        <x:v>Details</x:v>
      </x:c>
    </x:row>
    <x:row r="5" ht="48" customHeight="1">
      <x:c r="A5" s="29" t="str">
        <x:v>Purpose</x:v>
      </x:c>
      <x:c r="B5" s="35" t="str">
        <x:v>A small gold-standard benchmark for testing an implementation built in Antigravity. It includes positive PII examples and negative examples designed to reveal false positives.</x:v>
      </x:c>
    </x:row>
    <x:row r="6" ht="48" customHeight="1">
      <x:c r="A6" s="29" t="str">
        <x:v>How to test</x:v>
      </x:c>
      <x:c r="B6" s="35" t="str">
        <x:v>1) Give Antigravity this workbook. 2) Ask it to load the Test Cases sheet. 3) Run each Input Text through its PII detection/redaction pipeline. 4) Write outputs into the Actual columns. 5) Review the formula-based checks.</x:v>
      </x:c>
    </x:row>
    <x:row r="7" ht="48" customHeight="1">
      <x:c r="A7" s="29" t="str">
        <x:v>Important scope</x:v>
      </x:c>
      <x:c r="B7" s="35" t="str">
        <x:v>This workbook primarily tests text-level PII detection/redaction and evaluation. It does NOT by itself test OCR quality, PDF pixel redaction, DOCX/PPTX layout retention, hidden text, or document metadata removal.</x:v>
      </x:c>
    </x:row>
    <x:row r="8" ht="48" customHeight="1">
      <x:c r="A8" s="29" t="str">
        <x:v>Recommended next test</x:v>
      </x:c>
      <x:c r="B8" s="35" t="str">
        <x:v>After text-level checks pass, separately test synthetic PDF, scanned PDF, DOCX, and PPTX files to validate format-aware extraction, actual artifact redaction, and structure retention.</x:v>
      </x:c>
    </x:row>
    <x:row r="9" ht="48" customHeight="1">
      <x:c r="A9" s="29" t="str">
        <x:v>Ground truth</x:v>
      </x:c>
      <x:c r="B9" s="35" t="str">
        <x:v>The Gold Entities sheet lists each expected entity occurrence and its category. Use it as the answer key when validating detection spans.</x:v>
      </x:c>
    </x:row>
    <x:row r="10" ht="48" customHeight="1">
      <x:c r="A10" s="29" t="str">
        <x:v>Scoring</x:v>
      </x:c>
      <x:c r="B10" s="35" t="str">
        <x:v>On Test Cases, fill Actual Detected Entities, Actual PII Count, and Actual Redacted Text. Redacted Output Check tests exact equality with Expected Redacted Text. Count Check compares entity counts. A PASS is necessary but still review entity categories and residual PII.</x:v>
      </x:c>
    </x:row>
    <x:row r="11" ht="48" customHeight="1">
      <x:c r="A11" s="29" t="str">
        <x:v>Synthetic data notice</x:v>
      </x:c>
      <x:c r="B11" s="35" t="str">
        <x:v>Names, contact details, identifiers and addresses are fabricated test strings. example.test is a reserved testing domain. Identifiers are test values, not verified real identifiers.</x:v>
      </x:c>
    </x:row>
    <x:row r="12" ht="48" customHeight="1">
      <x:c r="A12" s="29" t="str">
        <x:v>Safety note</x:v>
      </x:c>
      <x:c r="B12" s="35" t="str">
        <x:v>Run locally by default. Do not send real personal data or internal case documents to an external model. Redaction should remove underlying content, not merely cover it visually.</x:v>
      </x:c>
    </x:row>
    <x:row r="13" ht="48" customHeight="1">
      <x:c r="A13" s="29" t="str">
        <x:v>PII categories</x:v>
      </x:c>
      <x:c r="B13" s="35" t="str">
        <x:v>PERSON_NAME, EMAIL, PHONE_NUMBER, ADDRESS, ACCOUNT_NUMBER, TAX_ID_PAN_STYLE, GOVERNMENT_ID_STYLE, EMPLOYEE_ID, DATE_OF_BIRTH.</x:v>
      </x:c>
    </x:row>
    <x:row r="14">
      <x:c r="A14" t="str">
        <x:v>Redaction convention</x:v>
      </x:c>
      <x:c r="B14" t="str">
        <x:v>Expected replacements are stable placeholders such as [NAME REDACTED], [EMAIL REDACTED], and [ACCOUNT NUMBER REDACTED]. The key is to remove sensitive values while preserving all surrounding non-PII content.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2" hidden="0" customWidth="1"/>
    <x:col min="5" max="5" width="56" hidden="0" customWidth="1"/>
    <x:col min="6" max="6" width="66" hidden="0" customWidth="1"/>
    <x:col min="7" max="7" width="16" hidden="0" customWidth="1"/>
    <x:col min="8" max="8" width="64" hidden="0" customWidth="1"/>
    <x:col min="9" max="9" width="48" hidden="0" customWidth="1"/>
    <x:col min="10" max="10" width="48" hidden="0" customWidth="1"/>
    <x:col min="11" max="11" width="16" hidden="0" customWidth="1"/>
    <x:col min="12" max="12" width="64" hidden="0" customWidth="1"/>
    <x:col min="13" max="13" width="19" hidden="0" customWidth="1"/>
    <x:col min="14" max="14" width="16" hidden="0" customWidth="1"/>
    <x:col min="15" max="15" width="18" hidden="0" customWidth="1"/>
  </x:cols>
  <x:sheetData>
    <x:row r="1" ht="30" customHeight="1">
      <x:c r="A1" s="39" t="str">
        <x:v>PII Detection Benchmark — Test Cases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 ht="28" customHeight="1">
      <x:c r="A2" s="44" t="str">
        <x:v>Synthetic text fixtures with gold-standard expected entities and redacted outputs. Fill the yellow Actual columns after running your application.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</x:row>
    <x:row r="4" ht="42" customHeight="1">
      <x:c r="A4" s="49" t="str">
        <x:v>Case ID</x:v>
      </x:c>
      <x:c r="B4" s="49" t="str">
        <x:v>Input Type</x:v>
      </x:c>
      <x:c r="C4" s="49" t="str">
        <x:v>Scenario</x:v>
      </x:c>
      <x:c r="D4" s="49" t="str">
        <x:v>Difficulty</x:v>
      </x:c>
      <x:c r="E4" s="49" t="str">
        <x:v>Input Text (Synthetic)</x:v>
      </x:c>
      <x:c r="F4" s="49" t="str">
        <x:v>Expected PII Entities</x:v>
      </x:c>
      <x:c r="G4" s="49" t="str">
        <x:v>Expected PII Count</x:v>
      </x:c>
      <x:c r="H4" s="49" t="str">
        <x:v>Expected Redacted Text</x:v>
      </x:c>
      <x:c r="I4" s="49" t="str">
        <x:v>Expected Behavior / Test Objective</x:v>
      </x:c>
      <x:c r="J4" s="49" t="str">
        <x:v>Actual Detected Entities</x:v>
      </x:c>
      <x:c r="K4" s="49" t="str">
        <x:v>Actual PII Count</x:v>
      </x:c>
      <x:c r="L4" s="49" t="str">
        <x:v>Actual Redacted Text</x:v>
      </x:c>
      <x:c r="M4" s="49" t="str">
        <x:v>Redacted Output Check</x:v>
      </x:c>
      <x:c r="N4" s="49" t="str">
        <x:v>Count Check</x:v>
      </x:c>
      <x:c r="O4" s="49" t="str">
        <x:v>Overall Result</x:v>
      </x:c>
    </x:row>
    <x:row r="5" ht="62" customHeight="1">
      <x:c r="A5" s="54" t="str">
        <x:v>PII-001</x:v>
      </x:c>
      <x:c r="B5" s="54" t="str">
        <x:v>Plain text</x:v>
      </x:c>
      <x:c r="C5" s="54" t="str">
        <x:v>Basic contact details</x:v>
      </x:c>
      <x:c r="D5" s="54" t="str">
        <x:v>Easy</x:v>
      </x:c>
      <x:c r="E5" s="62" t="str">
        <x:v>Customer: Maya Sample. Email: maya.sample@example.test. Phone: +91 90000 00000.</x:v>
      </x:c>
      <x:c r="F5" s="54" t="str">
        <x:v>PERSON_NAME: Maya Sample | EMAIL: maya.sample@example.test | PHONE_NUMBER: +91 90000 00000</x:v>
      </x:c>
      <x:c r="G5" s="54" t="n">
        <x:v>3</x:v>
      </x:c>
      <x:c r="H5" s="64" t="str">
        <x:v>Customer: [NAME REDACTED]. Email: [EMAIL REDACTED]. Phone: [PHONE REDACTED].</x:v>
      </x:c>
      <x:c r="I5" s="54" t="str">
        <x:v>Detect a person's name, email address, and phone number in one sentence.</x:v>
      </x:c>
      <x:c r="J5" s="58" t="str"/>
      <x:c r="K5" s="58"/>
      <x:c r="L5" s="58" t="str"/>
      <x:c r="M5" s="60" t="str">
        <x:f>IF(L5="","PENDING",IF(L5=H5,"PASS","FAIL"))</x:f>
        <x:v>PENDING</x:v>
      </x:c>
      <x:c r="N5" s="60" t="str">
        <x:f>IF(K5="","PENDING",IF(K5=G5,"PASS","REVIEW"))</x:f>
        <x:v>PENDING</x:v>
      </x:c>
      <x:c r="O5" s="60" t="str">
        <x:f>IF(AND(M5="PASS",N5="PASS"),"PASS",IF(OR(M5="FAIL",N5="REVIEW"),"REVIEW","PENDING"))</x:f>
        <x:v>PENDING</x:v>
      </x:c>
    </x:row>
    <x:row r="6" ht="62" customHeight="1">
      <x:c r="A6" s="54" t="str">
        <x:v>PII-002</x:v>
      </x:c>
      <x:c r="B6" s="54" t="str">
        <x:v>Statement text</x:v>
      </x:c>
      <x:c r="C6" s="54" t="str">
        <x:v>Account number with financial context</x:v>
      </x:c>
      <x:c r="D6" s="54" t="str">
        <x:v>Easy</x:v>
      </x:c>
      <x:c r="E6" s="62" t="str">
        <x:v>Account holder: Arjun Demo. Account number: 000012340001. Balance: INR 84,250.00.</x:v>
      </x:c>
      <x:c r="F6" s="54" t="str">
        <x:v>PERSON_NAME: Arjun Demo | ACCOUNT_NUMBER: 000012340001</x:v>
      </x:c>
      <x:c r="G6" s="54" t="n">
        <x:v>2</x:v>
      </x:c>
      <x:c r="H6" s="64" t="str">
        <x:v>Account holder: [NAME REDACTED]. Account number: [ACCOUNT NUMBER REDACTED]. Balance: INR 84,250.00.</x:v>
      </x:c>
      <x:c r="I6" s="54" t="str">
        <x:v>Redact direct identifiers but preserve the non-identifier balance and sentence structure.</x:v>
      </x:c>
      <x:c r="J6" s="58" t="str"/>
      <x:c r="K6" s="58"/>
      <x:c r="L6" s="58" t="str"/>
      <x:c r="M6" s="60" t="str">
        <x:f>IF(L6="","PENDING",IF(L6=H6,"PASS","FAIL"))</x:f>
        <x:v>PENDING</x:v>
      </x:c>
      <x:c r="N6" s="60" t="str">
        <x:f>IF(K6="","PENDING",IF(K6=G6,"PASS","REVIEW"))</x:f>
        <x:v>PENDING</x:v>
      </x:c>
      <x:c r="O6" s="60" t="str">
        <x:f>IF(AND(M6="PASS",N6="PASS"),"PASS",IF(OR(M6="FAIL",N6="REVIEW"),"REVIEW","PENDING"))</x:f>
        <x:v>PENDING</x:v>
      </x:c>
    </x:row>
    <x:row r="7" ht="62" customHeight="1">
      <x:c r="A7" s="54" t="str">
        <x:v>PII-003</x:v>
      </x:c>
      <x:c r="B7" s="54" t="str">
        <x:v>Tax form text</x:v>
      </x:c>
      <x:c r="C7" s="54" t="str">
        <x:v>PAN-style tax identifier</x:v>
      </x:c>
      <x:c r="D7" s="54" t="str">
        <x:v>Medium</x:v>
      </x:c>
      <x:c r="E7" s="62" t="str">
        <x:v>Tax ID: QWERT0000Z is recorded for Kavya Example.</x:v>
      </x:c>
      <x:c r="F7" s="54" t="str">
        <x:v>TAX_ID_PAN_STYLE: QWERT0000Z | PERSON_NAME: Kavya Example</x:v>
      </x:c>
      <x:c r="G7" s="54" t="n">
        <x:v>2</x:v>
      </x:c>
      <x:c r="H7" s="64" t="str">
        <x:v>Tax ID: [TAX ID REDACTED] is recorded for [NAME REDACTED].</x:v>
      </x:c>
      <x:c r="I7" s="54" t="str">
        <x:v>Detect a synthetic PAN-format identifier and associated person's name.</x:v>
      </x:c>
      <x:c r="J7" s="58" t="str"/>
      <x:c r="K7" s="58"/>
      <x:c r="L7" s="58" t="str"/>
      <x:c r="M7" s="60" t="str">
        <x:f>IF(L7="","PENDING",IF(L7=H7,"PASS","FAIL"))</x:f>
        <x:v>PENDING</x:v>
      </x:c>
      <x:c r="N7" s="60" t="str">
        <x:f>IF(K7="","PENDING",IF(K7=G7,"PASS","REVIEW"))</x:f>
        <x:v>PENDING</x:v>
      </x:c>
      <x:c r="O7" s="60" t="str">
        <x:f>IF(AND(M7="PASS",N7="PASS"),"PASS",IF(OR(M7="FAIL",N7="REVIEW"),"REVIEW","PENDING"))</x:f>
        <x:v>PENDING</x:v>
      </x:c>
    </x:row>
    <x:row r="8" ht="62" customHeight="1">
      <x:c r="A8" s="54" t="str">
        <x:v>PII-004</x:v>
      </x:c>
      <x:c r="B8" s="54" t="str">
        <x:v>Identity record</x:v>
      </x:c>
      <x:c r="C8" s="54" t="str">
        <x:v>Government ID-style number</x:v>
      </x:c>
      <x:c r="D8" s="54" t="str">
        <x:v>Medium</x:v>
      </x:c>
      <x:c r="E8" s="62" t="str">
        <x:v>Customer Rohan Test provided identity reference 0000 1111 2222 for verification.</x:v>
      </x:c>
      <x:c r="F8" s="54" t="str">
        <x:v>PERSON_NAME: Rohan Test | GOVERNMENT_ID_STYLE: 0000 1111 2222</x:v>
      </x:c>
      <x:c r="G8" s="54" t="n">
        <x:v>2</x:v>
      </x:c>
      <x:c r="H8" s="64" t="str">
        <x:v>Customer [NAME REDACTED] provided identity reference [GOVERNMENT ID REDACTED] for verification.</x:v>
      </x:c>
      <x:c r="I8" s="54" t="str">
        <x:v>Detect a synthetic 12-digit ID-like value and name; do not infer the value is a real issued ID.</x:v>
      </x:c>
      <x:c r="J8" s="58" t="str"/>
      <x:c r="K8" s="58"/>
      <x:c r="L8" s="58" t="str"/>
      <x:c r="M8" s="60" t="str">
        <x:f>IF(L8="","PENDING",IF(L8=H8,"PASS","FAIL"))</x:f>
        <x:v>PENDING</x:v>
      </x:c>
      <x:c r="N8" s="60" t="str">
        <x:f>IF(K8="","PENDING",IF(K8=G8,"PASS","REVIEW"))</x:f>
        <x:v>PENDING</x:v>
      </x:c>
      <x:c r="O8" s="60" t="str">
        <x:f>IF(AND(M8="PASS",N8="PASS"),"PASS",IF(OR(M8="FAIL",N8="REVIEW"),"REVIEW","PENDING"))</x:f>
        <x:v>PENDING</x:v>
      </x:c>
    </x:row>
    <x:row r="9" ht="62" customHeight="1">
      <x:c r="A9" s="54" t="str">
        <x:v>PII-005</x:v>
      </x:c>
      <x:c r="B9" s="54" t="str">
        <x:v>Mailing record</x:v>
      </x:c>
      <x:c r="C9" s="54" t="str">
        <x:v>Postal address</x:v>
      </x:c>
      <x:c r="D9" s="54" t="str">
        <x:v>Medium</x:v>
      </x:c>
      <x:c r="E9" s="62" t="str">
        <x:v>Send the notice to Riya Example at 42 Example Road, Sample Nagar, Chennai 600000.</x:v>
      </x:c>
      <x:c r="F9" s="54" t="str">
        <x:v>PERSON_NAME: Riya Example | ADDRESS: 42 Example Road, Sample Nagar, Chennai 600000</x:v>
      </x:c>
      <x:c r="G9" s="54" t="n">
        <x:v>2</x:v>
      </x:c>
      <x:c r="H9" s="64" t="str">
        <x:v>Send the notice to [NAME REDACTED] at [ADDRESS REDACTED].</x:v>
      </x:c>
      <x:c r="I9" s="54" t="str">
        <x:v>Redact the full address as one span and preserve the surrounding instruction.</x:v>
      </x:c>
      <x:c r="J9" s="58" t="str"/>
      <x:c r="K9" s="58"/>
      <x:c r="L9" s="58" t="str"/>
      <x:c r="M9" s="60" t="str">
        <x:f>IF(L9="","PENDING",IF(L9=H9,"PASS","FAIL"))</x:f>
        <x:v>PENDING</x:v>
      </x:c>
      <x:c r="N9" s="60" t="str">
        <x:f>IF(K9="","PENDING",IF(K9=G9,"PASS","REVIEW"))</x:f>
        <x:v>PENDING</x:v>
      </x:c>
      <x:c r="O9" s="60" t="str">
        <x:f>IF(AND(M9="PASS",N9="PASS"),"PASS",IF(OR(M9="FAIL",N9="REVIEW"),"REVIEW","PENDING"))</x:f>
        <x:v>PENDING</x:v>
      </x:c>
    </x:row>
    <x:row r="10" ht="62" customHeight="1">
      <x:c r="A10" s="54" t="str">
        <x:v>PII-006</x:v>
      </x:c>
      <x:c r="B10" s="54" t="str">
        <x:v>HR record</x:v>
      </x:c>
      <x:c r="C10" s="54" t="str">
        <x:v>Employee identifier and email</x:v>
      </x:c>
      <x:c r="D10" s="54" t="str">
        <x:v>Easy</x:v>
      </x:c>
      <x:c r="E10" s="62" t="str">
        <x:v>Employee: Tara Placeholder. Employee ID: EMP-TEST-017. Email: tara.placeholder@example.test.</x:v>
      </x:c>
      <x:c r="F10" s="54" t="str">
        <x:v>PERSON_NAME: Tara Placeholder | EMPLOYEE_ID: EMP-TEST-017 | EMAIL: tara.placeholder@example.test</x:v>
      </x:c>
      <x:c r="G10" s="54" t="n">
        <x:v>3</x:v>
      </x:c>
      <x:c r="H10" s="64" t="str">
        <x:v>Employee: [NAME REDACTED]. Employee ID: [EMPLOYEE ID REDACTED]. Email: [EMAIL REDACTED].</x:v>
      </x:c>
      <x:c r="I10" s="54" t="str">
        <x:v>Detect three identifier types with context labels.</x:v>
      </x:c>
      <x:c r="J10" s="58" t="str"/>
      <x:c r="K10" s="58"/>
      <x:c r="L10" s="58" t="str"/>
      <x:c r="M10" s="60" t="str">
        <x:f>IF(L10="","PENDING",IF(L10=H10,"PASS","FAIL"))</x:f>
        <x:v>PENDING</x:v>
      </x:c>
      <x:c r="N10" s="60" t="str">
        <x:f>IF(K10="","PENDING",IF(K10=G10,"PASS","REVIEW"))</x:f>
        <x:v>PENDING</x:v>
      </x:c>
      <x:c r="O10" s="60" t="str">
        <x:f>IF(AND(M10="PASS",N10="PASS"),"PASS",IF(OR(M10="FAIL",N10="REVIEW"),"REVIEW","PENDING"))</x:f>
        <x:v>PENDING</x:v>
      </x:c>
    </x:row>
    <x:row r="11" ht="62" customHeight="1">
      <x:c r="A11" s="54" t="str">
        <x:v>PII-007</x:v>
      </x:c>
      <x:c r="B11" s="54" t="str">
        <x:v>Application form</x:v>
      </x:c>
      <x:c r="C11" s="54" t="str">
        <x:v>Date of birth and name</x:v>
      </x:c>
      <x:c r="D11" s="54" t="str">
        <x:v>Medium</x:v>
      </x:c>
      <x:c r="E11" s="62" t="str">
        <x:v>Applicant Neha Demo, date of birth 01/01/1990, is listed for review.</x:v>
      </x:c>
      <x:c r="F11" s="54" t="str">
        <x:v>PERSON_NAME: Neha Demo | DATE_OF_BIRTH: 01/01/1990</x:v>
      </x:c>
      <x:c r="G11" s="54" t="n">
        <x:v>2</x:v>
      </x:c>
      <x:c r="H11" s="64" t="str">
        <x:v>Applicant [NAME REDACTED], date of birth [DATE OF BIRTH REDACTED], is listed for review.</x:v>
      </x:c>
      <x:c r="I11" s="54" t="str">
        <x:v>Detect DOB using contextual labeling rather than redacting every date.</x:v>
      </x:c>
      <x:c r="J11" s="58" t="str"/>
      <x:c r="K11" s="58"/>
      <x:c r="L11" s="58" t="str"/>
      <x:c r="M11" s="60" t="str">
        <x:f>IF(L11="","PENDING",IF(L11=H11,"PASS","FAIL"))</x:f>
        <x:v>PENDING</x:v>
      </x:c>
      <x:c r="N11" s="60" t="str">
        <x:f>IF(K11="","PENDING",IF(K11=G11,"PASS","REVIEW"))</x:f>
        <x:v>PENDING</x:v>
      </x:c>
      <x:c r="O11" s="60" t="str">
        <x:f>IF(AND(M11="PASS",N11="PASS"),"PASS",IF(OR(M11="FAIL",N11="REVIEW"),"REVIEW","PENDING"))</x:f>
        <x:v>PENDING</x:v>
      </x:c>
    </x:row>
    <x:row r="12" ht="62" customHeight="1">
      <x:c r="A12" s="54" t="str">
        <x:v>PII-008</x:v>
      </x:c>
      <x:c r="B12" s="54" t="str">
        <x:v>Narrative text</x:v>
      </x:c>
      <x:c r="C12" s="54" t="str">
        <x:v>Repeated name</x:v>
      </x:c>
      <x:c r="D12" s="54" t="str">
        <x:v>Medium</x:v>
      </x:c>
      <x:c r="E12" s="62" t="str">
        <x:v>Maya Sample submitted the form. The reviewer contacted Maya Sample for clarification.</x:v>
      </x:c>
      <x:c r="F12" s="54" t="str">
        <x:v>PERSON_NAME: Maya Sample | PERSON_NAME: Maya Sample</x:v>
      </x:c>
      <x:c r="G12" s="54" t="n">
        <x:v>2</x:v>
      </x:c>
      <x:c r="H12" s="64" t="str">
        <x:v>[NAME REDACTED] submitted the form. The reviewer contacted [NAME REDACTED] for clarification.</x:v>
      </x:c>
      <x:c r="I12" s="54" t="str">
        <x:v>Redact every occurrence of the same PII value, not just the first occurrence.</x:v>
      </x:c>
      <x:c r="J12" s="58" t="str"/>
      <x:c r="K12" s="58"/>
      <x:c r="L12" s="58" t="str"/>
      <x:c r="M12" s="60" t="str">
        <x:f>IF(L12="","PENDING",IF(L12=H12,"PASS","FAIL"))</x:f>
        <x:v>PENDING</x:v>
      </x:c>
      <x:c r="N12" s="60" t="str">
        <x:f>IF(K12="","PENDING",IF(K12=G12,"PASS","REVIEW"))</x:f>
        <x:v>PENDING</x:v>
      </x:c>
      <x:c r="O12" s="60" t="str">
        <x:f>IF(AND(M12="PASS",N12="PASS"),"PASS",IF(OR(M12="FAIL",N12="REVIEW"),"REVIEW","PENDING"))</x:f>
        <x:v>PENDING</x:v>
      </x:c>
    </x:row>
    <x:row r="13" ht="62" customHeight="1">
      <x:c r="A13" s="54" t="str">
        <x:v>PII-009</x:v>
      </x:c>
      <x:c r="B13" s="54" t="str">
        <x:v>Policy text</x:v>
      </x:c>
      <x:c r="C13" s="54" t="str">
        <x:v>No PII — terminology false positive</x:v>
      </x:c>
      <x:c r="D13" s="54" t="str">
        <x:v>Easy</x:v>
      </x:c>
      <x:c r="E13" s="62" t="str">
        <x:v>The Contact Information Standard describes how teams handle confidential records. No named person or contact detail appears here.</x:v>
      </x:c>
      <x:c r="F13" s="54" t="str">
        <x:v>None expected</x:v>
      </x:c>
      <x:c r="G13" s="54" t="n">
        <x:v>0</x:v>
      </x:c>
      <x:c r="H13" s="64" t="str">
        <x:v>The Contact Information Standard describes how teams handle confidential records. No named person or contact detail appears here.</x:v>
      </x:c>
      <x:c r="I13" s="54" t="str">
        <x:v>Avoid false positives from generic terms such as 'Contact Information'.</x:v>
      </x:c>
      <x:c r="J13" s="58" t="str"/>
      <x:c r="K13" s="58"/>
      <x:c r="L13" s="58" t="str"/>
      <x:c r="M13" s="60" t="str">
        <x:f>IF(L13="","PENDING",IF(L13=H13,"PASS","FAIL"))</x:f>
        <x:v>PENDING</x:v>
      </x:c>
      <x:c r="N13" s="60" t="str">
        <x:f>IF(K13="","PENDING",IF(K13=G13,"PASS","REVIEW"))</x:f>
        <x:v>PENDING</x:v>
      </x:c>
      <x:c r="O13" s="60" t="str">
        <x:f>IF(AND(M13="PASS",N13="PASS"),"PASS",IF(OR(M13="FAIL",N13="REVIEW"),"REVIEW","PENDING"))</x:f>
        <x:v>PENDING</x:v>
      </x:c>
    </x:row>
    <x:row r="14" ht="62" customHeight="1">
      <x:c r="A14" s="54" t="str">
        <x:v>PII-010</x:v>
      </x:c>
      <x:c r="B14" s="54" t="str">
        <x:v>Business description</x:v>
      </x:c>
      <x:c r="C14" s="54" t="str">
        <x:v>No PII — organization name</x:v>
      </x:c>
      <x:c r="D14" s="54" t="str">
        <x:v>Easy</x:v>
      </x:c>
      <x:c r="E14" s="62" t="str">
        <x:v>Blue River Financial Services reviews statements for client institutions.</x:v>
      </x:c>
      <x:c r="F14" s="54" t="str">
        <x:v>None expected</x:v>
      </x:c>
      <x:c r="G14" s="54" t="n">
        <x:v>0</x:v>
      </x:c>
      <x:c r="H14" s="64" t="str">
        <x:v>Blue River Financial Services reviews statements for client institutions.</x:v>
      </x:c>
      <x:c r="I14" s="54" t="str">
        <x:v>Do not treat an organization name as a person's name by default.</x:v>
      </x:c>
      <x:c r="J14" s="58" t="str"/>
      <x:c r="K14" s="58"/>
      <x:c r="L14" s="58" t="str"/>
      <x:c r="M14" s="60" t="str">
        <x:f>IF(L14="","PENDING",IF(L14=H14,"PASS","FAIL"))</x:f>
        <x:v>PENDING</x:v>
      </x:c>
      <x:c r="N14" s="60" t="str">
        <x:f>IF(K14="","PENDING",IF(K14=G14,"PASS","REVIEW"))</x:f>
        <x:v>PENDING</x:v>
      </x:c>
      <x:c r="O14" s="60" t="str">
        <x:f>IF(AND(M14="PASS",N14="PASS"),"PASS",IF(OR(M14="FAIL",N14="REVIEW"),"REVIEW","PENDING"))</x:f>
        <x:v>PENDING</x:v>
      </x:c>
    </x:row>
    <x:row r="15" ht="62" customHeight="1">
      <x:c r="A15" s="54" t="str">
        <x:v>PII-011</x:v>
      </x:c>
      <x:c r="B15" s="54" t="str">
        <x:v>Email text</x:v>
      </x:c>
      <x:c r="C15" s="54" t="str">
        <x:v>Uppercase name and formatted contact details</x:v>
      </x:c>
      <x:c r="D15" s="54" t="str">
        <x:v>Medium</x:v>
      </x:c>
      <x:c r="E15" s="62" t="str">
        <x:v>CUSTOMER: DEVIKA SAMPLE | EMAIL: DEVIKA.SAMPLE@example.test | PHONE: +91-90000-00000</x:v>
      </x:c>
      <x:c r="F15" s="54" t="str">
        <x:v>PERSON_NAME: DEVIKA SAMPLE | EMAIL: DEVIKA.SAMPLE@example.test | PHONE_NUMBER: +91-90000-00000</x:v>
      </x:c>
      <x:c r="G15" s="54" t="n">
        <x:v>3</x:v>
      </x:c>
      <x:c r="H15" s="64" t="str">
        <x:v>CUSTOMER: [NAME REDACTED] | EMAIL: [EMAIL REDACTED] | PHONE: [PHONE REDACTED]</x:v>
      </x:c>
      <x:c r="I15" s="54" t="str">
        <x:v>Handle uppercase text and phone punctuation variants.</x:v>
      </x:c>
      <x:c r="J15" s="58" t="str"/>
      <x:c r="K15" s="58"/>
      <x:c r="L15" s="58" t="str"/>
      <x:c r="M15" s="60" t="str">
        <x:f>IF(L15="","PENDING",IF(L15=H15,"PASS","FAIL"))</x:f>
        <x:v>PENDING</x:v>
      </x:c>
      <x:c r="N15" s="60" t="str">
        <x:f>IF(K15="","PENDING",IF(K15=G15,"PASS","REVIEW"))</x:f>
        <x:v>PENDING</x:v>
      </x:c>
      <x:c r="O15" s="60" t="str">
        <x:f>IF(AND(M15="PASS",N15="PASS"),"PASS",IF(OR(M15="FAIL",N15="REVIEW"),"REVIEW","PENDING"))</x:f>
        <x:v>PENDING</x:v>
      </x:c>
    </x:row>
    <x:row r="16" ht="62" customHeight="1">
      <x:c r="A16" s="54" t="str">
        <x:v>PII-012</x:v>
      </x:c>
      <x:c r="B16" s="54" t="str">
        <x:v>Technical note</x:v>
      </x:c>
      <x:c r="C16" s="54" t="str">
        <x:v>No PII — reference code and version</x:v>
      </x:c>
      <x:c r="D16" s="54" t="str">
        <x:v>Easy</x:v>
      </x:c>
      <x:c r="E16" s="62" t="str">
        <x:v>Case reference CASE-TEST-0007 was reviewed against Policy Version 6.0 on the next business day.</x:v>
      </x:c>
      <x:c r="F16" s="54" t="str">
        <x:v>None expected</x:v>
      </x:c>
      <x:c r="G16" s="54" t="n">
        <x:v>0</x:v>
      </x:c>
      <x:c r="H16" s="64" t="str">
        <x:v>Case reference CASE-TEST-0007 was reviewed against Policy Version 6.0 on the next business day.</x:v>
      </x:c>
      <x:c r="I16" s="54" t="str">
        <x:v>Do not treat generic case references or version numbers as PII without supporting context.</x:v>
      </x:c>
      <x:c r="J16" s="58" t="str"/>
      <x:c r="K16" s="58"/>
      <x:c r="L16" s="58" t="str"/>
      <x:c r="M16" s="60" t="str">
        <x:f>IF(L16="","PENDING",IF(L16=H16,"PASS","FAIL"))</x:f>
        <x:v>PENDING</x:v>
      </x:c>
      <x:c r="N16" s="60" t="str">
        <x:f>IF(K16="","PENDING",IF(K16=G16,"PASS","REVIEW"))</x:f>
        <x:v>PENDING</x:v>
      </x:c>
      <x:c r="O16" s="60" t="str">
        <x:f>IF(AND(M16="PASS",N16="PASS"),"PASS",IF(OR(M16="FAIL",N16="REVIEW"),"REVIEW","PENDING"))</x:f>
        <x:v>PENDING</x:v>
      </x:c>
    </x:row>
    <x:row r="17" ht="62" customHeight="1">
      <x:c r="A17" s="54" t="str">
        <x:v>PII-013</x:v>
      </x:c>
      <x:c r="B17" s="54" t="str">
        <x:v>Contact record</x:v>
      </x:c>
      <x:c r="C17" s="54" t="str">
        <x:v>Fictional US phone number</x:v>
      </x:c>
      <x:c r="D17" s="54" t="str">
        <x:v>Easy</x:v>
      </x:c>
      <x:c r="E17" s="62" t="str">
        <x:v>Contact person: Jordan Example. Phone: +1 202-555-0147.</x:v>
      </x:c>
      <x:c r="F17" s="54" t="str">
        <x:v>PERSON_NAME: Jordan Example | PHONE_NUMBER: +1 202-555-0147</x:v>
      </x:c>
      <x:c r="G17" s="54" t="n">
        <x:v>2</x:v>
      </x:c>
      <x:c r="H17" s="64" t="str">
        <x:v>Contact person: [NAME REDACTED]. Phone: [PHONE REDACTED].</x:v>
      </x:c>
      <x:c r="I17" s="54" t="str">
        <x:v>Detect a fictional phone number using a reserved example range.</x:v>
      </x:c>
      <x:c r="J17" s="58" t="str"/>
      <x:c r="K17" s="58"/>
      <x:c r="L17" s="58" t="str"/>
      <x:c r="M17" s="60" t="str">
        <x:f>IF(L17="","PENDING",IF(L17=H17,"PASS","FAIL"))</x:f>
        <x:v>PENDING</x:v>
      </x:c>
      <x:c r="N17" s="60" t="str">
        <x:f>IF(K17="","PENDING",IF(K17=G17,"PASS","REVIEW"))</x:f>
        <x:v>PENDING</x:v>
      </x:c>
      <x:c r="O17" s="60" t="str">
        <x:f>IF(AND(M17="PASS",N17="PASS"),"PASS",IF(OR(M17="FAIL",N17="REVIEW"),"REVIEW","PENDING"))</x:f>
        <x:v>PENDING</x:v>
      </x:c>
    </x:row>
    <x:row r="18" ht="62" customHeight="1">
      <x:c r="A18" s="54" t="str">
        <x:v>PII-014</x:v>
      </x:c>
      <x:c r="B18" s="54" t="str">
        <x:v>Table-like text</x:v>
      </x:c>
      <x:c r="C18" s="54" t="str">
        <x:v>PII in a row/column layout</x:v>
      </x:c>
      <x:c r="D18" s="54" t="str">
        <x:v>Medium</x:v>
      </x:c>
      <x:c r="E18" s="62" t="str">
        <x:v>Name | Email | Account
Neel Demo | neel.demo@example.test | 000098765432</x:v>
      </x:c>
      <x:c r="F18" s="54" t="str">
        <x:v>PERSON_NAME: Neel Demo | EMAIL: neel.demo@example.test | ACCOUNT_NUMBER: 000098765432</x:v>
      </x:c>
      <x:c r="G18" s="54" t="n">
        <x:v>3</x:v>
      </x:c>
      <x:c r="H18" s="64" t="str">
        <x:v>Name | Email | Account
[NAME REDACTED] | [EMAIL REDACTED] | [ACCOUNT NUMBER REDACTED]</x:v>
      </x:c>
      <x:c r="I18" s="54" t="str">
        <x:v>Detect PII in table-like content without losing delimiters or line structure.</x:v>
      </x:c>
      <x:c r="J18" s="58" t="str"/>
      <x:c r="K18" s="58"/>
      <x:c r="L18" s="58" t="str"/>
      <x:c r="M18" s="60" t="str">
        <x:f>IF(L18="","PENDING",IF(L18=H18,"PASS","FAIL"))</x:f>
        <x:v>PENDING</x:v>
      </x:c>
      <x:c r="N18" s="60" t="str">
        <x:f>IF(K18="","PENDING",IF(K18=G18,"PASS","REVIEW"))</x:f>
        <x:v>PENDING</x:v>
      </x:c>
      <x:c r="O18" s="60" t="str">
        <x:f>IF(AND(M18="PASS",N18="PASS"),"PASS",IF(OR(M18="FAIL",N18="REVIEW"),"REVIEW","PENDING"))</x:f>
        <x:v>PENDING</x:v>
      </x:c>
    </x:row>
    <x:row r="19" ht="62" customHeight="1">
      <x:c r="A19" s="54" t="str">
        <x:v>PII-015</x:v>
      </x:c>
      <x:c r="B19" s="54" t="str">
        <x:v>Statement text</x:v>
      </x:c>
      <x:c r="C19" s="54" t="str">
        <x:v>Already-masked identifier</x:v>
      </x:c>
      <x:c r="D19" s="54" t="str">
        <x:v>Hard</x:v>
      </x:c>
      <x:c r="E19" s="62" t="str">
        <x:v>For support, use the card ending in **** 0000. The full account number is not included in this copy.</x:v>
      </x:c>
      <x:c r="F19" s="54" t="str">
        <x:v>None expected</x:v>
      </x:c>
      <x:c r="G19" s="54" t="n">
        <x:v>0</x:v>
      </x:c>
      <x:c r="H19" s="64" t="str">
        <x:v>For support, use the card ending in **** 0000. The full account number is not included in this copy.</x:v>
      </x:c>
      <x:c r="I19" s="54" t="str">
        <x:v>Avoid treating an already-masked partial identifier as a full exposed account number.</x:v>
      </x:c>
      <x:c r="J19" s="58" t="str"/>
      <x:c r="K19" s="58"/>
      <x:c r="L19" s="58" t="str"/>
      <x:c r="M19" s="60" t="str">
        <x:f>IF(L19="","PENDING",IF(L19=H19,"PASS","FAIL"))</x:f>
        <x:v>PENDING</x:v>
      </x:c>
      <x:c r="N19" s="60" t="str">
        <x:f>IF(K19="","PENDING",IF(K19=G19,"PASS","REVIEW"))</x:f>
        <x:v>PENDING</x:v>
      </x:c>
      <x:c r="O19" s="60" t="str">
        <x:f>IF(AND(M19="PASS",N19="PASS"),"PASS",IF(OR(M19="FAIL",N19="REVIEW"),"REVIEW","PENDING"))</x:f>
        <x:v>PENDING</x:v>
      </x:c>
    </x:row>
    <x:row r="20" ht="62" customHeight="1">
      <x:c r="A20" s="54" t="str">
        <x:v>PII-016</x:v>
      </x:c>
      <x:c r="B20" s="54" t="str">
        <x:v>Financial report</x:v>
      </x:c>
      <x:c r="C20" s="54" t="str">
        <x:v>No PII — date and amount context</x:v>
      </x:c>
      <x:c r="D20" s="54" t="str">
        <x:v>Medium</x:v>
      </x:c>
      <x:c r="E20" s="62" t="str">
        <x:v>Quarterly processing completed on 31 March 2026 with total volume of INR 1,250,000.</x:v>
      </x:c>
      <x:c r="F20" s="54" t="str">
        <x:v>None expected</x:v>
      </x:c>
      <x:c r="G20" s="54" t="n">
        <x:v>0</x:v>
      </x:c>
      <x:c r="H20" s="64" t="str">
        <x:v>Quarterly processing completed on 31 March 2026 with total volume of INR 1,250,000.</x:v>
      </x:c>
      <x:c r="I20" s="54" t="str">
        <x:v>Do not redact ordinary dates or financial totals without context that identifies a person.</x:v>
      </x:c>
      <x:c r="J20" s="58" t="str"/>
      <x:c r="K20" s="58"/>
      <x:c r="L20" s="58" t="str"/>
      <x:c r="M20" s="60" t="str">
        <x:f>IF(L20="","PENDING",IF(L20=H20,"PASS","FAIL"))</x:f>
        <x:v>PENDING</x:v>
      </x:c>
      <x:c r="N20" s="60" t="str">
        <x:f>IF(K20="","PENDING",IF(K20=G20,"PASS","REVIEW"))</x:f>
        <x:v>PENDING</x:v>
      </x:c>
      <x:c r="O20" s="60" t="str">
        <x:f>IF(AND(M20="PASS",N20="PASS"),"PASS",IF(OR(M20="FAIL",N20="REVIEW"),"REVIEW","PENDING"))</x:f>
        <x:v>PENDING</x:v>
      </x:c>
    </x:row>
    <x:row r="21" ht="62" customHeight="1">
      <x:c r="A21" s="54" t="str">
        <x:v>PII-017</x:v>
      </x:c>
      <x:c r="B21" s="54" t="str">
        <x:v>Customer correspondence</x:v>
      </x:c>
      <x:c r="C21" s="54" t="str">
        <x:v>Name, email and phone in paragraph</x:v>
      </x:c>
      <x:c r="D21" s="54" t="str">
        <x:v>Easy</x:v>
      </x:c>
      <x:c r="E21" s="62" t="str">
        <x:v>Please contact Sana Rao at sana.rao@example.test or +91 90000 00000 regarding the submitted form.</x:v>
      </x:c>
      <x:c r="F21" s="54" t="str">
        <x:v>PERSON_NAME: Sana Rao | EMAIL: sana.rao@example.test | PHONE_NUMBER: +91 90000 00000</x:v>
      </x:c>
      <x:c r="G21" s="54" t="n">
        <x:v>3</x:v>
      </x:c>
      <x:c r="H21" s="64" t="str">
        <x:v>Please contact [NAME REDACTED] at [EMAIL REDACTED] or [PHONE REDACTED] regarding the submitted form.</x:v>
      </x:c>
      <x:c r="I21" s="54" t="str">
        <x:v>Detect multiple PII types in running prose.</x:v>
      </x:c>
      <x:c r="J21" s="58" t="str"/>
      <x:c r="K21" s="58"/>
      <x:c r="L21" s="58" t="str"/>
      <x:c r="M21" s="60" t="str">
        <x:f>IF(L21="","PENDING",IF(L21=H21,"PASS","FAIL"))</x:f>
        <x:v>PENDING</x:v>
      </x:c>
      <x:c r="N21" s="60" t="str">
        <x:f>IF(K21="","PENDING",IF(K21=G21,"PASS","REVIEW"))</x:f>
        <x:v>PENDING</x:v>
      </x:c>
      <x:c r="O21" s="60" t="str">
        <x:f>IF(AND(M21="PASS",N21="PASS"),"PASS",IF(OR(M21="FAIL",N21="REVIEW"),"REVIEW","PENDING"))</x:f>
        <x:v>PENDING</x:v>
      </x:c>
    </x:row>
    <x:row r="22" ht="62" customHeight="1">
      <x:c r="A22" s="54" t="str">
        <x:v>PII-018</x:v>
      </x:c>
      <x:c r="B22" s="54" t="str">
        <x:v>Identity document text</x:v>
      </x:c>
      <x:c r="C22" s="54" t="str">
        <x:v>Passport-style identifier</x:v>
      </x:c>
      <x:c r="D22" s="54" t="str">
        <x:v>Medium</x:v>
      </x:c>
      <x:c r="E22" s="62" t="str">
        <x:v>Applicant: Isha Example. Passport reference: TEST-PASSPORT-009.</x:v>
      </x:c>
      <x:c r="F22" s="54" t="str">
        <x:v>PERSON_NAME: Isha Example | GOVERNMENT_ID_STYLE: TEST-PASSPORT-009</x:v>
      </x:c>
      <x:c r="G22" s="54" t="n">
        <x:v>2</x:v>
      </x:c>
      <x:c r="H22" s="64" t="str">
        <x:v>Applicant: [NAME REDACTED]. Passport reference: [GOVERNMENT ID REDACTED].</x:v>
      </x:c>
      <x:c r="I22" s="54" t="str">
        <x:v>Detect an identifier explicitly labelled as a passport reference.</x:v>
      </x:c>
      <x:c r="J22" s="58" t="str"/>
      <x:c r="K22" s="58"/>
      <x:c r="L22" s="58" t="str"/>
      <x:c r="M22" s="60" t="str">
        <x:f>IF(L22="","PENDING",IF(L22=H22,"PASS","FAIL"))</x:f>
        <x:v>PENDING</x:v>
      </x:c>
      <x:c r="N22" s="60" t="str">
        <x:f>IF(K22="","PENDING",IF(K22=G22,"PASS","REVIEW"))</x:f>
        <x:v>PENDING</x:v>
      </x:c>
      <x:c r="O22" s="60" t="str">
        <x:f>IF(AND(M22="PASS",N22="PASS"),"PASS",IF(OR(M22="FAIL",N22="REVIEW"),"REVIEW","PENDING"))</x:f>
        <x:v>PENDING</x:v>
      </x:c>
    </x:row>
    <x:row r="23" ht="62" customHeight="1">
      <x:c r="A23" s="54" t="str">
        <x:v>PII-019</x:v>
      </x:c>
      <x:c r="B23" s="54" t="str">
        <x:v>Email record</x:v>
      </x:c>
      <x:c r="C23" s="54" t="str">
        <x:v>Individual email in business context</x:v>
      </x:c>
      <x:c r="D23" s="54" t="str">
        <x:v>Easy</x:v>
      </x:c>
      <x:c r="E23" s="62" t="str">
        <x:v>Assigned analyst: Kiran Demo. Contact address: kiran.demo@example.test.</x:v>
      </x:c>
      <x:c r="F23" s="54" t="str">
        <x:v>PERSON_NAME: Kiran Demo | EMAIL: kiran.demo@example.test</x:v>
      </x:c>
      <x:c r="G23" s="54" t="n">
        <x:v>2</x:v>
      </x:c>
      <x:c r="H23" s="64" t="str">
        <x:v>Assigned analyst: [NAME REDACTED]. Contact address: [EMAIL REDACTED].</x:v>
      </x:c>
      <x:c r="I23" s="54" t="str">
        <x:v>Detect person-linked email addresses even when a separate contact label is used.</x:v>
      </x:c>
      <x:c r="J23" s="58" t="str"/>
      <x:c r="K23" s="58"/>
      <x:c r="L23" s="58" t="str"/>
      <x:c r="M23" s="60" t="str">
        <x:f>IF(L23="","PENDING",IF(L23=H23,"PASS","FAIL"))</x:f>
        <x:v>PENDING</x:v>
      </x:c>
      <x:c r="N23" s="60" t="str">
        <x:f>IF(K23="","PENDING",IF(K23=G23,"PASS","REVIEW"))</x:f>
        <x:v>PENDING</x:v>
      </x:c>
      <x:c r="O23" s="60" t="str">
        <x:f>IF(AND(M23="PASS",N23="PASS"),"PASS",IF(OR(M23="FAIL",N23="REVIEW"),"REVIEW","PENDING"))</x:f>
        <x:v>PENDING</x:v>
      </x:c>
    </x:row>
    <x:row r="24" ht="62" customHeight="1">
      <x:c r="A24" s="54" t="str">
        <x:v>PII-020</x:v>
      </x:c>
      <x:c r="B24" s="54" t="str">
        <x:v>OCR-extracted text</x:v>
      </x:c>
      <x:c r="C24" s="54" t="str">
        <x:v>Possible OCR character substitution</x:v>
      </x:c>
      <x:c r="D24" s="54" t="str">
        <x:v>Hard</x:v>
      </x:c>
      <x:c r="E24" s="62" t="str">
        <x:v>Customer: R1YA SAMPLE. Email: riya.sample@example.test. Please retain the case reference.</x:v>
      </x:c>
      <x:c r="F24" s="54" t="str">
        <x:v>PERSON_NAME: R1YA SAMPLE | EMAIL: riya.sample@example.test</x:v>
      </x:c>
      <x:c r="G24" s="54" t="n">
        <x:v>2</x:v>
      </x:c>
      <x:c r="H24" s="64" t="str">
        <x:v>Customer: [NAME REDACTED]. Email: [EMAIL REDACTED]. Please retain the case reference.</x:v>
      </x:c>
      <x:c r="I24" s="54" t="str">
        <x:v>Test context-aware handling of an OCR-like name artifact; flag low-confidence detections for review.</x:v>
      </x:c>
      <x:c r="J24" s="58" t="str"/>
      <x:c r="K24" s="58"/>
      <x:c r="L24" s="58" t="str"/>
      <x:c r="M24" s="60" t="str">
        <x:f>IF(L24="","PENDING",IF(L24=H24,"PASS","FAIL"))</x:f>
        <x:v>PENDING</x:v>
      </x:c>
      <x:c r="N24" s="60" t="str">
        <x:f>IF(K24="","PENDING",IF(K24=G24,"PASS","REVIEW"))</x:f>
        <x:v>PENDING</x:v>
      </x:c>
      <x:c r="O24" s="60" t="str">
        <x:f>IF(AND(M24="PASS",N24="PASS"),"PASS",IF(OR(M24="FAIL",N24="REVIEW"),"REVIEW","PENDING"))</x:f>
        <x:v>PENDING</x:v>
      </x:c>
    </x:row>
    <x:row r="25" ht="62" customHeight="1">
      <x:c r="A25" s="54" t="str">
        <x:v>PII-021</x:v>
      </x:c>
      <x:c r="B25" s="54" t="str">
        <x:v>Document metadata text</x:v>
      </x:c>
      <x:c r="C25" s="54" t="str">
        <x:v>Author and owner email</x:v>
      </x:c>
      <x:c r="D25" s="54" t="str">
        <x:v>Medium</x:v>
      </x:c>
      <x:c r="E25" s="62" t="str">
        <x:v>Prepared by: Priya Demo. Document owner email: priya.demo@example.test.</x:v>
      </x:c>
      <x:c r="F25" s="54" t="str">
        <x:v>PERSON_NAME: Priya Demo | EMAIL: priya.demo@example.test</x:v>
      </x:c>
      <x:c r="G25" s="54" t="n">
        <x:v>2</x:v>
      </x:c>
      <x:c r="H25" s="64" t="str">
        <x:v>Prepared by: [NAME REDACTED]. Document owner email: [EMAIL REDACTED].</x:v>
      </x:c>
      <x:c r="I25" s="54" t="str">
        <x:v>Detect PII found in text extracted from document properties or metadata.</x:v>
      </x:c>
      <x:c r="J25" s="58" t="str"/>
      <x:c r="K25" s="58"/>
      <x:c r="L25" s="58" t="str"/>
      <x:c r="M25" s="60" t="str">
        <x:f>IF(L25="","PENDING",IF(L25=H25,"PASS","FAIL"))</x:f>
        <x:v>PENDING</x:v>
      </x:c>
      <x:c r="N25" s="60" t="str">
        <x:f>IF(K25="","PENDING",IF(K25=G25,"PASS","REVIEW"))</x:f>
        <x:v>PENDING</x:v>
      </x:c>
      <x:c r="O25" s="60" t="str">
        <x:f>IF(AND(M25="PASS",N25="PASS"),"PASS",IF(OR(M25="FAIL",N25="REVIEW"),"REVIEW","PENDING"))</x:f>
        <x:v>PENDING</x:v>
      </x:c>
    </x:row>
    <x:row r="26" ht="62" customHeight="1">
      <x:c r="A26" s="54" t="str">
        <x:v>PII-022</x:v>
      </x:c>
      <x:c r="B26" s="54" t="str">
        <x:v>Case note</x:v>
      </x:c>
      <x:c r="C26" s="54" t="str">
        <x:v>Two people and employee IDs</x:v>
      </x:c>
      <x:c r="D26" s="54" t="str">
        <x:v>Hard</x:v>
      </x:c>
      <x:c r="E26" s="62" t="str">
        <x:v>Reviewer Anil Sample (EMP-TEST-101) requested approval from Meera Demo (EMP-TEST-102).</x:v>
      </x:c>
      <x:c r="F26" s="54" t="str">
        <x:v>PERSON_NAME: Anil Sample | EMPLOYEE_ID: EMP-TEST-101 | PERSON_NAME: Meera Demo | EMPLOYEE_ID: EMP-TEST-102</x:v>
      </x:c>
      <x:c r="G26" s="54" t="n">
        <x:v>4</x:v>
      </x:c>
      <x:c r="H26" s="64" t="str">
        <x:v>Reviewer [NAME REDACTED] ([EMPLOYEE ID REDACTED]) requested approval from [NAME REDACTED] ([EMPLOYEE ID REDACTED]).</x:v>
      </x:c>
      <x:c r="I26" s="54" t="str">
        <x:v>Detect several entity spans in a single sentence and preserve parentheses.</x:v>
      </x:c>
      <x:c r="J26" s="58" t="str"/>
      <x:c r="K26" s="58"/>
      <x:c r="L26" s="58" t="str"/>
      <x:c r="M26" s="60" t="str">
        <x:f>IF(L26="","PENDING",IF(L26=H26,"PASS","FAIL"))</x:f>
        <x:v>PENDING</x:v>
      </x:c>
      <x:c r="N26" s="60" t="str">
        <x:f>IF(K26="","PENDING",IF(K26=G26,"PASS","REVIEW"))</x:f>
        <x:v>PENDING</x:v>
      </x:c>
      <x:c r="O26" s="60" t="str">
        <x:f>IF(AND(M26="PASS",N26="PASS"),"PASS",IF(OR(M26="FAIL",N26="REVIEW"),"REVIEW","PENDING"))</x:f>
        <x:v>PENDING</x:v>
      </x:c>
    </x:row>
    <x:row r="27" ht="62" customHeight="1">
      <x:c r="A27" s="54" t="str">
        <x:v>PII-023</x:v>
      </x:c>
      <x:c r="B27" s="54" t="str">
        <x:v>Policy text</x:v>
      </x:c>
      <x:c r="C27" s="54" t="str">
        <x:v>No PII — committee and document title</x:v>
      </x:c>
      <x:c r="D27" s="54" t="str">
        <x:v>Medium</x:v>
      </x:c>
      <x:c r="E27" s="62" t="str">
        <x:v>The Risk Committee approved the Contact Information Standard, Revision 2.0.</x:v>
      </x:c>
      <x:c r="F27" s="54" t="str">
        <x:v>None expected</x:v>
      </x:c>
      <x:c r="G27" s="54" t="n">
        <x:v>0</x:v>
      </x:c>
      <x:c r="H27" s="64" t="str">
        <x:v>The Risk Committee approved the Contact Information Standard, Revision 2.0.</x:v>
      </x:c>
      <x:c r="I27" s="54" t="str">
        <x:v>Avoid classifying committee names, policy titles, or version strings as personal identifiers.</x:v>
      </x:c>
      <x:c r="J27" s="58" t="str"/>
      <x:c r="K27" s="58"/>
      <x:c r="L27" s="58" t="str"/>
      <x:c r="M27" s="60" t="str">
        <x:f>IF(L27="","PENDING",IF(L27=H27,"PASS","FAIL"))</x:f>
        <x:v>PENDING</x:v>
      </x:c>
      <x:c r="N27" s="60" t="str">
        <x:f>IF(K27="","PENDING",IF(K27=G27,"PASS","REVIEW"))</x:f>
        <x:v>PENDING</x:v>
      </x:c>
      <x:c r="O27" s="60" t="str">
        <x:f>IF(AND(M27="PASS",N27="PASS"),"PASS",IF(OR(M27="FAIL",N27="REVIEW"),"REVIEW","PENDING"))</x:f>
        <x:v>PENDING</x:v>
      </x:c>
    </x:row>
    <x:row r="28" ht="62" customHeight="1">
      <x:c r="A28" s="54" t="str">
        <x:v>PII-024</x:v>
      </x:c>
      <x:c r="B28" s="54" t="str">
        <x:v>Contact record</x:v>
      </x:c>
      <x:c r="C28" s="54" t="str">
        <x:v>Phone punctuation variant</x:v>
      </x:c>
      <x:c r="D28" s="54" t="str">
        <x:v>Medium</x:v>
      </x:c>
      <x:c r="E28" s="62" t="str">
        <x:v>Primary contact: Omar Example; telephone: +91 (90000) 00000.</x:v>
      </x:c>
      <x:c r="F28" s="54" t="str">
        <x:v>PERSON_NAME: Omar Example | PHONE_NUMBER: +91 (90000) 00000</x:v>
      </x:c>
      <x:c r="G28" s="54" t="n">
        <x:v>2</x:v>
      </x:c>
      <x:c r="H28" s="64" t="str">
        <x:v>Primary contact: [NAME REDACTED]; telephone: [PHONE REDACTED].</x:v>
      </x:c>
      <x:c r="I28" s="54" t="str">
        <x:v>Handle punctuation and spacing variation in phone numbers.</x:v>
      </x:c>
      <x:c r="J28" s="58" t="str"/>
      <x:c r="K28" s="58"/>
      <x:c r="L28" s="58" t="str"/>
      <x:c r="M28" s="60" t="str">
        <x:f>IF(L28="","PENDING",IF(L28=H28,"PASS","FAIL"))</x:f>
        <x:v>PENDING</x:v>
      </x:c>
      <x:c r="N28" s="60" t="str">
        <x:f>IF(K28="","PENDING",IF(K28=G28,"PASS","REVIEW"))</x:f>
        <x:v>PENDING</x:v>
      </x:c>
      <x:c r="O28" s="60" t="str">
        <x:f>IF(AND(M28="PASS",N28="PASS"),"PASS",IF(OR(M28="FAIL",N28="REVIEW"),"REVIEW","PENDING"))</x:f>
        <x:v>PENDING</x:v>
      </x:c>
    </x:row>
    <x:row r="29" ht="62" customHeight="1">
      <x:c r="A29" s="54" t="str">
        <x:v>PII-025</x:v>
      </x:c>
      <x:c r="B29" s="54" t="str">
        <x:v>Tax form text</x:v>
      </x:c>
      <x:c r="C29" s="54" t="str">
        <x:v>Identifier mixed with non-PII data</x:v>
      </x:c>
      <x:c r="D29" s="54" t="str">
        <x:v>Medium</x:v>
      </x:c>
      <x:c r="E29" s="62" t="str">
        <x:v>Reference date: 15/08/2026. Tax identifier: QAZWS1234M. Report total: INR 5,400.</x:v>
      </x:c>
      <x:c r="F29" s="54" t="str">
        <x:v>TAX_ID_PAN_STYLE: QAZWS1234M</x:v>
      </x:c>
      <x:c r="G29" s="54" t="n">
        <x:v>1</x:v>
      </x:c>
      <x:c r="H29" s="64" t="str">
        <x:v>Reference date: 15/08/2026. Tax identifier: [TAX ID REDACTED]. Report total: INR 5,400.</x:v>
      </x:c>
      <x:c r="I29" s="54" t="str">
        <x:v>Redact the tax identifier while preserving dates and totals.</x:v>
      </x:c>
      <x:c r="J29" s="58" t="str"/>
      <x:c r="K29" s="58"/>
      <x:c r="L29" s="58" t="str"/>
      <x:c r="M29" s="60" t="str">
        <x:f>IF(L29="","PENDING",IF(L29=H29,"PASS","FAIL"))</x:f>
        <x:v>PENDING</x:v>
      </x:c>
      <x:c r="N29" s="60" t="str">
        <x:f>IF(K29="","PENDING",IF(K29=G29,"PASS","REVIEW"))</x:f>
        <x:v>PENDING</x:v>
      </x:c>
      <x:c r="O29" s="60" t="str">
        <x:f>IF(AND(M29="PASS",N29="PASS"),"PASS",IF(OR(M29="FAIL",N29="REVIEW"),"REVIEW","PENDING"))</x:f>
        <x:v>PENDING</x:v>
      </x:c>
    </x:row>
    <x:row r="30" ht="62" customHeight="1">
      <x:c r="A30" s="54" t="str">
        <x:v>PII-026</x:v>
      </x:c>
      <x:c r="B30" s="54" t="str">
        <x:v>Account log</x:v>
      </x:c>
      <x:c r="C30" s="54" t="str">
        <x:v>Account number embedded in key-value text</x:v>
      </x:c>
      <x:c r="D30" s="54" t="str">
        <x:v>Hard</x:v>
      </x:c>
      <x:c r="E30" s="62" t="str">
        <x:v>customer_name=Dev Sample; acct=000045670089; balance=12500; status=active</x:v>
      </x:c>
      <x:c r="F30" s="54" t="str">
        <x:v>PERSON_NAME: Dev Sample | ACCOUNT_NUMBER: 000045670089</x:v>
      </x:c>
      <x:c r="G30" s="54" t="n">
        <x:v>2</x:v>
      </x:c>
      <x:c r="H30" s="64" t="str">
        <x:v>customer_name=[NAME REDACTED]; acct=[ACCOUNT NUMBER REDACTED]; balance=12500; status=active</x:v>
      </x:c>
      <x:c r="I30" s="54" t="str">
        <x:v>Detect PII in machine-like key-value text while preserving non-PII fields.</x:v>
      </x:c>
      <x:c r="J30" s="58" t="str"/>
      <x:c r="K30" s="58"/>
      <x:c r="L30" s="58" t="str"/>
      <x:c r="M30" s="60" t="str">
        <x:f>IF(L30="","PENDING",IF(L30=H30,"PASS","FAIL"))</x:f>
        <x:v>PENDING</x:v>
      </x:c>
      <x:c r="N30" s="60" t="str">
        <x:f>IF(K30="","PENDING",IF(K30=G30,"PASS","REVIEW"))</x:f>
        <x:v>PENDING</x:v>
      </x:c>
      <x:c r="O30" s="60" t="str">
        <x:f>IF(AND(M30="PASS",N30="PASS"),"PASS",IF(OR(M30="FAIL",N30="REVIEW"),"REVIEW","PENDING"))</x:f>
        <x:v>PENDING</x:v>
      </x:c>
    </x:row>
    <x:row r="31" ht="62" customHeight="1">
      <x:c r="A31" s="54" t="str">
        <x:v>PII-027</x:v>
      </x:c>
      <x:c r="B31" s="54" t="str">
        <x:v>General prose</x:v>
      </x:c>
      <x:c r="C31" s="54" t="str">
        <x:v>No PII — month names that resemble names</x:v>
      </x:c>
      <x:c r="D31" s="54" t="str">
        <x:v>Medium</x:v>
      </x:c>
      <x:c r="E31" s="62" t="str">
        <x:v>May, June and August are release milestones for the quarterly reporting project.</x:v>
      </x:c>
      <x:c r="F31" s="54" t="str">
        <x:v>None expected</x:v>
      </x:c>
      <x:c r="G31" s="54" t="n">
        <x:v>0</x:v>
      </x:c>
      <x:c r="H31" s="64" t="str">
        <x:v>May, June and August are release milestones for the quarterly reporting project.</x:v>
      </x:c>
      <x:c r="I31" s="54" t="str">
        <x:v>Avoid false positives for common words and month names.</x:v>
      </x:c>
      <x:c r="J31" s="58" t="str"/>
      <x:c r="K31" s="58"/>
      <x:c r="L31" s="58" t="str"/>
      <x:c r="M31" s="60" t="str">
        <x:f>IF(L31="","PENDING",IF(L31=H31,"PASS","FAIL"))</x:f>
        <x:v>PENDING</x:v>
      </x:c>
      <x:c r="N31" s="60" t="str">
        <x:f>IF(K31="","PENDING",IF(K31=G31,"PASS","REVIEW"))</x:f>
        <x:v>PENDING</x:v>
      </x:c>
      <x:c r="O31" s="60" t="str">
        <x:f>IF(AND(M31="PASS",N31="PASS"),"PASS",IF(OR(M31="FAIL",N31="REVIEW"),"REVIEW","PENDING"))</x:f>
        <x:v>PENDING</x:v>
      </x:c>
    </x:row>
    <x:row r="32" ht="62" customHeight="1">
      <x:c r="A32" s="54" t="str">
        <x:v>PII-028</x:v>
      </x:c>
      <x:c r="B32" s="54" t="str">
        <x:v>Customer record</x:v>
      </x:c>
      <x:c r="C32" s="54" t="str">
        <x:v>Name, address and tax identifier</x:v>
      </x:c>
      <x:c r="D32" s="54" t="str">
        <x:v>Hard</x:v>
      </x:c>
      <x:c r="E32" s="62" t="str">
        <x:v>Account holder Leena Sample lives at 8 Fictional Crescent, Example District, Chennai 600000. Tax ID: QWERT0000Z.</x:v>
      </x:c>
      <x:c r="F32" s="54" t="str">
        <x:v>PERSON_NAME: Leena Sample | ADDRESS: 8 Fictional Crescent, Example District, Chennai 600000 | TAX_ID_PAN_STYLE: QWERT0000Z</x:v>
      </x:c>
      <x:c r="G32" s="54" t="n">
        <x:v>3</x:v>
      </x:c>
      <x:c r="H32" s="64" t="str">
        <x:v>Account holder [NAME REDACTED] lives at [ADDRESS REDACTED]. Tax ID: [TAX ID REDACTED].</x:v>
      </x:c>
      <x:c r="I32" s="54" t="str">
        <x:v>Detect multiple high-sensitivity entity types and redact all of them consistently.</x:v>
      </x:c>
      <x:c r="J32" s="58" t="str"/>
      <x:c r="K32" s="58"/>
      <x:c r="L32" s="58" t="str"/>
      <x:c r="M32" s="60" t="str">
        <x:f>IF(L32="","PENDING",IF(L32=H32,"PASS","FAIL"))</x:f>
        <x:v>PENDING</x:v>
      </x:c>
      <x:c r="N32" s="60" t="str">
        <x:f>IF(K32="","PENDING",IF(K32=G32,"PASS","REVIEW"))</x:f>
        <x:v>PENDING</x:v>
      </x:c>
      <x:c r="O32" s="60" t="str">
        <x:f>IF(AND(M32="PASS",N32="PASS"),"PASS",IF(OR(M32="FAIL",N32="REVIEW"),"REVIEW","PENDING"))</x:f>
        <x:v>PENDING</x:v>
      </x:c>
    </x:row>
  </x:sheetData>
  <x:mergeCells>
    <x:mergeCell ref="A1:O1"/>
    <x:mergeCell ref="A2:O2"/>
  </x:mergeCells>
  <x:dataValidations count="1">
    <x:dataValidation sqref="K5:K32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183ee459e64ba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6" hidden="0" customWidth="1"/>
    <x:col min="4" max="4" width="26" hidden="0" customWidth="1"/>
    <x:col min="5" max="5" width="30" hidden="0" customWidth="1"/>
    <x:col min="6" max="6" width="20" hidden="0" customWidth="1"/>
    <x:col min="7" max="7" width="22" hidden="0" customWidth="1"/>
    <x:col min="8" max="8" width="42" hidden="0" customWidth="1"/>
  </x:cols>
  <x:sheetData>
    <x:row r="1" ht="30" customHeight="1">
      <x:c r="A1" s="39" t="str">
        <x:v>Gold Entities — Expected PII Spans</x:v>
      </x:c>
      <x:c r="B1" s="39"/>
      <x:c r="C1" s="39"/>
      <x:c r="D1" s="39"/>
      <x:c r="E1" s="39"/>
      <x:c r="F1" s="39"/>
      <x:c r="G1" s="39"/>
      <x:c r="H1" s="39"/>
    </x:row>
    <x:row r="2" ht="32" customHeight="1">
      <x:c r="A2" s="44" t="str">
        <x:v>One row per expected PII occurrence. Character offsets are zero-based start, end-exclusive indices against the exact Input Text (Synthetic) in Test Cases.</x:v>
      </x:c>
      <x:c r="B2" s="44"/>
      <x:c r="C2" s="44"/>
      <x:c r="D2" s="44"/>
      <x:c r="E2" s="44"/>
      <x:c r="F2" s="44"/>
      <x:c r="G2" s="44"/>
      <x:c r="H2" s="44"/>
    </x:row>
    <x:row r="4" ht="38" customHeight="1">
      <x:c r="A4" s="49" t="str">
        <x:v>Case ID</x:v>
      </x:c>
      <x:c r="B4" s="49" t="str">
        <x:v>Occurrence #</x:v>
      </x:c>
      <x:c r="C4" s="49" t="str">
        <x:v>Exact Entity Text</x:v>
      </x:c>
      <x:c r="D4" s="49" t="str">
        <x:v>Expected Category</x:v>
      </x:c>
      <x:c r="E4" s="49" t="str">
        <x:v>Expected Replacement</x:v>
      </x:c>
      <x:c r="F4" s="49" t="str">
        <x:v>Start Index (0-based)</x:v>
      </x:c>
      <x:c r="G4" s="49" t="str">
        <x:v>End Index (exclusive)</x:v>
      </x:c>
      <x:c r="H4" s="49" t="str">
        <x:v>Sensitivity / Notes</x:v>
      </x:c>
    </x:row>
    <x:row r="5" ht="24" customHeight="1">
      <x:c r="A5" s="54" t="str">
        <x:v>PII-001</x:v>
      </x:c>
      <x:c r="B5" s="54" t="n">
        <x:v>1</x:v>
      </x:c>
      <x:c r="C5" s="54" t="str">
        <x:v>Maya Sample</x:v>
      </x:c>
      <x:c r="D5" s="54" t="str">
        <x:v>PERSON_NAME</x:v>
      </x:c>
      <x:c r="E5" s="54" t="str">
        <x:v>[NAME REDACTED]</x:v>
      </x:c>
      <x:c r="F5" s="54" t="n">
        <x:v>10</x:v>
      </x:c>
      <x:c r="G5" s="54" t="n">
        <x:v>21</x:v>
      </x:c>
      <x:c r="H5" s="54" t="str">
        <x:v>Synthetic test value; verify context and exact span.</x:v>
      </x:c>
    </x:row>
    <x:row r="6" ht="24" customHeight="1">
      <x:c r="A6" s="54" t="str">
        <x:v>PII-001</x:v>
      </x:c>
      <x:c r="B6" s="54" t="n">
        <x:v>2</x:v>
      </x:c>
      <x:c r="C6" s="54" t="str">
        <x:v>maya.sample@example.test</x:v>
      </x:c>
      <x:c r="D6" s="54" t="str">
        <x:v>EMAIL</x:v>
      </x:c>
      <x:c r="E6" s="54" t="str">
        <x:v>[EMAIL REDACTED]</x:v>
      </x:c>
      <x:c r="F6" s="54" t="n">
        <x:v>30</x:v>
      </x:c>
      <x:c r="G6" s="54" t="n">
        <x:v>54</x:v>
      </x:c>
      <x:c r="H6" s="54" t="str">
        <x:v>Synthetic test value; verify context and exact span.</x:v>
      </x:c>
    </x:row>
    <x:row r="7" ht="24" customHeight="1">
      <x:c r="A7" s="54" t="str">
        <x:v>PII-001</x:v>
      </x:c>
      <x:c r="B7" s="54" t="n">
        <x:v>3</x:v>
      </x:c>
      <x:c r="C7" s="54" t="str">
        <x:v>+91 90000 00000</x:v>
      </x:c>
      <x:c r="D7" s="54" t="str">
        <x:v>PHONE_NUMBER</x:v>
      </x:c>
      <x:c r="E7" s="54" t="str">
        <x:v>[PHONE REDACTED]</x:v>
      </x:c>
      <x:c r="F7" s="54" t="n">
        <x:v>63</x:v>
      </x:c>
      <x:c r="G7" s="54" t="n">
        <x:v>78</x:v>
      </x:c>
      <x:c r="H7" s="54" t="str">
        <x:v>Synthetic test value; verify context and exact span.</x:v>
      </x:c>
    </x:row>
    <x:row r="8" ht="24" customHeight="1">
      <x:c r="A8" s="54" t="str">
        <x:v>PII-002</x:v>
      </x:c>
      <x:c r="B8" s="54" t="n">
        <x:v>1</x:v>
      </x:c>
      <x:c r="C8" s="54" t="str">
        <x:v>Arjun Demo</x:v>
      </x:c>
      <x:c r="D8" s="54" t="str">
        <x:v>PERSON_NAME</x:v>
      </x:c>
      <x:c r="E8" s="54" t="str">
        <x:v>[NAME REDACTED]</x:v>
      </x:c>
      <x:c r="F8" s="54" t="n">
        <x:v>16</x:v>
      </x:c>
      <x:c r="G8" s="54" t="n">
        <x:v>26</x:v>
      </x:c>
      <x:c r="H8" s="54" t="str">
        <x:v>Synthetic test value; verify context and exact span.</x:v>
      </x:c>
    </x:row>
    <x:row r="9" ht="24" customHeight="1">
      <x:c r="A9" s="54" t="str">
        <x:v>PII-002</x:v>
      </x:c>
      <x:c r="B9" s="54" t="n">
        <x:v>2</x:v>
      </x:c>
      <x:c r="C9" s="54" t="str">
        <x:v>000012340001</x:v>
      </x:c>
      <x:c r="D9" s="54" t="str">
        <x:v>ACCOUNT_NUMBER</x:v>
      </x:c>
      <x:c r="E9" s="54" t="str">
        <x:v>[ACCOUNT NUMBER REDACTED]</x:v>
      </x:c>
      <x:c r="F9" s="54" t="n">
        <x:v>44</x:v>
      </x:c>
      <x:c r="G9" s="54" t="n">
        <x:v>56</x:v>
      </x:c>
      <x:c r="H9" s="54" t="str">
        <x:v>Synthetic test value; verify context and exact span.</x:v>
      </x:c>
    </x:row>
    <x:row r="10" ht="24" customHeight="1">
      <x:c r="A10" s="54" t="str">
        <x:v>PII-003</x:v>
      </x:c>
      <x:c r="B10" s="54" t="n">
        <x:v>1</x:v>
      </x:c>
      <x:c r="C10" s="54" t="str">
        <x:v>QWERT0000Z</x:v>
      </x:c>
      <x:c r="D10" s="54" t="str">
        <x:v>TAX_ID_PAN_STYLE</x:v>
      </x:c>
      <x:c r="E10" s="54" t="str">
        <x:v>[TAX ID REDACTED]</x:v>
      </x:c>
      <x:c r="F10" s="54" t="n">
        <x:v>8</x:v>
      </x:c>
      <x:c r="G10" s="54" t="n">
        <x:v>18</x:v>
      </x:c>
      <x:c r="H10" s="54" t="str">
        <x:v>Synthetic test value; verify context and exact span.</x:v>
      </x:c>
    </x:row>
    <x:row r="11" ht="24" customHeight="1">
      <x:c r="A11" s="54" t="str">
        <x:v>PII-003</x:v>
      </x:c>
      <x:c r="B11" s="54" t="n">
        <x:v>2</x:v>
      </x:c>
      <x:c r="C11" s="54" t="str">
        <x:v>Kavya Example</x:v>
      </x:c>
      <x:c r="D11" s="54" t="str">
        <x:v>PERSON_NAME</x:v>
      </x:c>
      <x:c r="E11" s="54" t="str">
        <x:v>[NAME REDACTED]</x:v>
      </x:c>
      <x:c r="F11" s="54" t="n">
        <x:v>35</x:v>
      </x:c>
      <x:c r="G11" s="54" t="n">
        <x:v>48</x:v>
      </x:c>
      <x:c r="H11" s="54" t="str">
        <x:v>Synthetic test value; verify context and exact span.</x:v>
      </x:c>
    </x:row>
    <x:row r="12" ht="24" customHeight="1">
      <x:c r="A12" s="54" t="str">
        <x:v>PII-004</x:v>
      </x:c>
      <x:c r="B12" s="54" t="n">
        <x:v>1</x:v>
      </x:c>
      <x:c r="C12" s="54" t="str">
        <x:v>Rohan Test</x:v>
      </x:c>
      <x:c r="D12" s="54" t="str">
        <x:v>PERSON_NAME</x:v>
      </x:c>
      <x:c r="E12" s="54" t="str">
        <x:v>[NAME REDACTED]</x:v>
      </x:c>
      <x:c r="F12" s="54" t="n">
        <x:v>9</x:v>
      </x:c>
      <x:c r="G12" s="54" t="n">
        <x:v>19</x:v>
      </x:c>
      <x:c r="H12" s="54" t="str">
        <x:v>Synthetic test value; verify context and exact span.</x:v>
      </x:c>
    </x:row>
    <x:row r="13" ht="24" customHeight="1">
      <x:c r="A13" s="54" t="str">
        <x:v>PII-004</x:v>
      </x:c>
      <x:c r="B13" s="54" t="n">
        <x:v>2</x:v>
      </x:c>
      <x:c r="C13" s="54" t="str">
        <x:v>0000 1111 2222</x:v>
      </x:c>
      <x:c r="D13" s="54" t="str">
        <x:v>GOVERNMENT_ID_STYLE</x:v>
      </x:c>
      <x:c r="E13" s="54" t="str">
        <x:v>[GOVERNMENT ID REDACTED]</x:v>
      </x:c>
      <x:c r="F13" s="54" t="n">
        <x:v>48</x:v>
      </x:c>
      <x:c r="G13" s="54" t="n">
        <x:v>62</x:v>
      </x:c>
      <x:c r="H13" s="54" t="str">
        <x:v>Synthetic test value; verify context and exact span.</x:v>
      </x:c>
    </x:row>
    <x:row r="14" ht="24" customHeight="1">
      <x:c r="A14" s="54" t="str">
        <x:v>PII-005</x:v>
      </x:c>
      <x:c r="B14" s="54" t="n">
        <x:v>1</x:v>
      </x:c>
      <x:c r="C14" s="54" t="str">
        <x:v>Riya Example</x:v>
      </x:c>
      <x:c r="D14" s="54" t="str">
        <x:v>PERSON_NAME</x:v>
      </x:c>
      <x:c r="E14" s="54" t="str">
        <x:v>[NAME REDACTED]</x:v>
      </x:c>
      <x:c r="F14" s="54" t="n">
        <x:v>19</x:v>
      </x:c>
      <x:c r="G14" s="54" t="n">
        <x:v>31</x:v>
      </x:c>
      <x:c r="H14" s="54" t="str">
        <x:v>Synthetic test value; verify context and exact span.</x:v>
      </x:c>
    </x:row>
    <x:row r="15" ht="24" customHeight="1">
      <x:c r="A15" s="54" t="str">
        <x:v>PII-005</x:v>
      </x:c>
      <x:c r="B15" s="54" t="n">
        <x:v>2</x:v>
      </x:c>
      <x:c r="C15" s="54" t="str">
        <x:v>42 Example Road, Sample Nagar, Chennai 600000</x:v>
      </x:c>
      <x:c r="D15" s="54" t="str">
        <x:v>ADDRESS</x:v>
      </x:c>
      <x:c r="E15" s="54" t="str">
        <x:v>[ADDRESS REDACTED]</x:v>
      </x:c>
      <x:c r="F15" s="54" t="n">
        <x:v>35</x:v>
      </x:c>
      <x:c r="G15" s="54" t="n">
        <x:v>80</x:v>
      </x:c>
      <x:c r="H15" s="54" t="str">
        <x:v>Synthetic test value; verify context and exact span.</x:v>
      </x:c>
    </x:row>
    <x:row r="16" ht="24" customHeight="1">
      <x:c r="A16" s="54" t="str">
        <x:v>PII-006</x:v>
      </x:c>
      <x:c r="B16" s="54" t="n">
        <x:v>1</x:v>
      </x:c>
      <x:c r="C16" s="54" t="str">
        <x:v>Tara Placeholder</x:v>
      </x:c>
      <x:c r="D16" s="54" t="str">
        <x:v>PERSON_NAME</x:v>
      </x:c>
      <x:c r="E16" s="54" t="str">
        <x:v>[NAME REDACTED]</x:v>
      </x:c>
      <x:c r="F16" s="54" t="n">
        <x:v>10</x:v>
      </x:c>
      <x:c r="G16" s="54" t="n">
        <x:v>26</x:v>
      </x:c>
      <x:c r="H16" s="54" t="str">
        <x:v>Synthetic test value; verify context and exact span.</x:v>
      </x:c>
    </x:row>
    <x:row r="17" ht="24" customHeight="1">
      <x:c r="A17" s="54" t="str">
        <x:v>PII-006</x:v>
      </x:c>
      <x:c r="B17" s="54" t="n">
        <x:v>2</x:v>
      </x:c>
      <x:c r="C17" s="54" t="str">
        <x:v>EMP-TEST-017</x:v>
      </x:c>
      <x:c r="D17" s="54" t="str">
        <x:v>EMPLOYEE_ID</x:v>
      </x:c>
      <x:c r="E17" s="54" t="str">
        <x:v>[EMPLOYEE ID REDACTED]</x:v>
      </x:c>
      <x:c r="F17" s="54" t="n">
        <x:v>41</x:v>
      </x:c>
      <x:c r="G17" s="54" t="n">
        <x:v>53</x:v>
      </x:c>
      <x:c r="H17" s="54" t="str">
        <x:v>Synthetic test value; verify context and exact span.</x:v>
      </x:c>
    </x:row>
    <x:row r="18" ht="24" customHeight="1">
      <x:c r="A18" s="54" t="str">
        <x:v>PII-006</x:v>
      </x:c>
      <x:c r="B18" s="54" t="n">
        <x:v>3</x:v>
      </x:c>
      <x:c r="C18" s="54" t="str">
        <x:v>tara.placeholder@example.test</x:v>
      </x:c>
      <x:c r="D18" s="54" t="str">
        <x:v>EMAIL</x:v>
      </x:c>
      <x:c r="E18" s="54" t="str">
        <x:v>[EMAIL REDACTED]</x:v>
      </x:c>
      <x:c r="F18" s="54" t="n">
        <x:v>62</x:v>
      </x:c>
      <x:c r="G18" s="54" t="n">
        <x:v>91</x:v>
      </x:c>
      <x:c r="H18" s="54" t="str">
        <x:v>Synthetic test value; verify context and exact span.</x:v>
      </x:c>
    </x:row>
    <x:row r="19" ht="24" customHeight="1">
      <x:c r="A19" s="54" t="str">
        <x:v>PII-007</x:v>
      </x:c>
      <x:c r="B19" s="54" t="n">
        <x:v>1</x:v>
      </x:c>
      <x:c r="C19" s="54" t="str">
        <x:v>Neha Demo</x:v>
      </x:c>
      <x:c r="D19" s="54" t="str">
        <x:v>PERSON_NAME</x:v>
      </x:c>
      <x:c r="E19" s="54" t="str">
        <x:v>[NAME REDACTED]</x:v>
      </x:c>
      <x:c r="F19" s="54" t="n">
        <x:v>10</x:v>
      </x:c>
      <x:c r="G19" s="54" t="n">
        <x:v>19</x:v>
      </x:c>
      <x:c r="H19" s="54" t="str">
        <x:v>Synthetic test value; verify context and exact span.</x:v>
      </x:c>
    </x:row>
    <x:row r="20" ht="24" customHeight="1">
      <x:c r="A20" s="54" t="str">
        <x:v>PII-007</x:v>
      </x:c>
      <x:c r="B20" s="54" t="n">
        <x:v>2</x:v>
      </x:c>
      <x:c r="C20" s="54" t="str">
        <x:v>01/01/1990</x:v>
      </x:c>
      <x:c r="D20" s="54" t="str">
        <x:v>DATE_OF_BIRTH</x:v>
      </x:c>
      <x:c r="E20" s="54" t="str">
        <x:v>[DATE OF BIRTH REDACTED]</x:v>
      </x:c>
      <x:c r="F20" s="54" t="n">
        <x:v>35</x:v>
      </x:c>
      <x:c r="G20" s="54" t="n">
        <x:v>45</x:v>
      </x:c>
      <x:c r="H20" s="54" t="str">
        <x:v>Synthetic test value; verify context and exact span.</x:v>
      </x:c>
    </x:row>
    <x:row r="21" ht="24" customHeight="1">
      <x:c r="A21" s="54" t="str">
        <x:v>PII-008</x:v>
      </x:c>
      <x:c r="B21" s="54" t="n">
        <x:v>1</x:v>
      </x:c>
      <x:c r="C21" s="54" t="str">
        <x:v>Maya Sample</x:v>
      </x:c>
      <x:c r="D21" s="54" t="str">
        <x:v>PERSON_NAME</x:v>
      </x:c>
      <x:c r="E21" s="54" t="str">
        <x:v>[NAME REDACTED]</x:v>
      </x:c>
      <x:c r="F21" s="54" t="n">
        <x:v>0</x:v>
      </x:c>
      <x:c r="G21" s="54" t="n">
        <x:v>11</x:v>
      </x:c>
      <x:c r="H21" s="54" t="str">
        <x:v>Synthetic test value; verify context and exact span.</x:v>
      </x:c>
    </x:row>
    <x:row r="22" ht="24" customHeight="1">
      <x:c r="A22" s="54" t="str">
        <x:v>PII-008</x:v>
      </x:c>
      <x:c r="B22" s="54" t="n">
        <x:v>2</x:v>
      </x:c>
      <x:c r="C22" s="54" t="str">
        <x:v>Maya Sample</x:v>
      </x:c>
      <x:c r="D22" s="54" t="str">
        <x:v>PERSON_NAME</x:v>
      </x:c>
      <x:c r="E22" s="54" t="str">
        <x:v>[NAME REDACTED]</x:v>
      </x:c>
      <x:c r="F22" s="54" t="n">
        <x:v>55</x:v>
      </x:c>
      <x:c r="G22" s="54" t="n">
        <x:v>66</x:v>
      </x:c>
      <x:c r="H22" s="54" t="str">
        <x:v>Synthetic test value; verify context and exact span.</x:v>
      </x:c>
    </x:row>
    <x:row r="23" ht="24" customHeight="1">
      <x:c r="A23" s="54" t="str">
        <x:v>PII-011</x:v>
      </x:c>
      <x:c r="B23" s="54" t="n">
        <x:v>1</x:v>
      </x:c>
      <x:c r="C23" s="54" t="str">
        <x:v>DEVIKA SAMPLE</x:v>
      </x:c>
      <x:c r="D23" s="54" t="str">
        <x:v>PERSON_NAME</x:v>
      </x:c>
      <x:c r="E23" s="54" t="str">
        <x:v>[NAME REDACTED]</x:v>
      </x:c>
      <x:c r="F23" s="54" t="n">
        <x:v>10</x:v>
      </x:c>
      <x:c r="G23" s="54" t="n">
        <x:v>23</x:v>
      </x:c>
      <x:c r="H23" s="54" t="str">
        <x:v>Synthetic test value; verify context and exact span.</x:v>
      </x:c>
    </x:row>
    <x:row r="24" ht="24" customHeight="1">
      <x:c r="A24" s="54" t="str">
        <x:v>PII-011</x:v>
      </x:c>
      <x:c r="B24" s="54" t="n">
        <x:v>2</x:v>
      </x:c>
      <x:c r="C24" s="54" t="str">
        <x:v>DEVIKA.SAMPLE@example.test</x:v>
      </x:c>
      <x:c r="D24" s="54" t="str">
        <x:v>EMAIL</x:v>
      </x:c>
      <x:c r="E24" s="54" t="str">
        <x:v>[EMAIL REDACTED]</x:v>
      </x:c>
      <x:c r="F24" s="54" t="n">
        <x:v>33</x:v>
      </x:c>
      <x:c r="G24" s="54" t="n">
        <x:v>59</x:v>
      </x:c>
      <x:c r="H24" s="54" t="str">
        <x:v>Synthetic test value; verify context and exact span.</x:v>
      </x:c>
    </x:row>
    <x:row r="25" ht="24" customHeight="1">
      <x:c r="A25" s="54" t="str">
        <x:v>PII-011</x:v>
      </x:c>
      <x:c r="B25" s="54" t="n">
        <x:v>3</x:v>
      </x:c>
      <x:c r="C25" s="54" t="str">
        <x:v>+91-90000-00000</x:v>
      </x:c>
      <x:c r="D25" s="54" t="str">
        <x:v>PHONE_NUMBER</x:v>
      </x:c>
      <x:c r="E25" s="54" t="str">
        <x:v>[PHONE REDACTED]</x:v>
      </x:c>
      <x:c r="F25" s="54" t="n">
        <x:v>69</x:v>
      </x:c>
      <x:c r="G25" s="54" t="n">
        <x:v>84</x:v>
      </x:c>
      <x:c r="H25" s="54" t="str">
        <x:v>Synthetic test value; verify context and exact span.</x:v>
      </x:c>
    </x:row>
    <x:row r="26" ht="24" customHeight="1">
      <x:c r="A26" s="54" t="str">
        <x:v>PII-013</x:v>
      </x:c>
      <x:c r="B26" s="54" t="n">
        <x:v>1</x:v>
      </x:c>
      <x:c r="C26" s="54" t="str">
        <x:v>Jordan Example</x:v>
      </x:c>
      <x:c r="D26" s="54" t="str">
        <x:v>PERSON_NAME</x:v>
      </x:c>
      <x:c r="E26" s="54" t="str">
        <x:v>[NAME REDACTED]</x:v>
      </x:c>
      <x:c r="F26" s="54" t="n">
        <x:v>16</x:v>
      </x:c>
      <x:c r="G26" s="54" t="n">
        <x:v>30</x:v>
      </x:c>
      <x:c r="H26" s="54" t="str">
        <x:v>Synthetic test value; verify context and exact span.</x:v>
      </x:c>
    </x:row>
    <x:row r="27" ht="24" customHeight="1">
      <x:c r="A27" s="54" t="str">
        <x:v>PII-013</x:v>
      </x:c>
      <x:c r="B27" s="54" t="n">
        <x:v>2</x:v>
      </x:c>
      <x:c r="C27" s="54" t="str">
        <x:v>+1 202-555-0147</x:v>
      </x:c>
      <x:c r="D27" s="54" t="str">
        <x:v>PHONE_NUMBER</x:v>
      </x:c>
      <x:c r="E27" s="54" t="str">
        <x:v>[PHONE REDACTED]</x:v>
      </x:c>
      <x:c r="F27" s="54" t="n">
        <x:v>39</x:v>
      </x:c>
      <x:c r="G27" s="54" t="n">
        <x:v>54</x:v>
      </x:c>
      <x:c r="H27" s="54" t="str">
        <x:v>Synthetic test value; verify context and exact span.</x:v>
      </x:c>
    </x:row>
    <x:row r="28" ht="24" customHeight="1">
      <x:c r="A28" s="54" t="str">
        <x:v>PII-014</x:v>
      </x:c>
      <x:c r="B28" s="54" t="n">
        <x:v>1</x:v>
      </x:c>
      <x:c r="C28" s="54" t="str">
        <x:v>Neel Demo</x:v>
      </x:c>
      <x:c r="D28" s="54" t="str">
        <x:v>PERSON_NAME</x:v>
      </x:c>
      <x:c r="E28" s="54" t="str">
        <x:v>[NAME REDACTED]</x:v>
      </x:c>
      <x:c r="F28" s="54" t="n">
        <x:v>23</x:v>
      </x:c>
      <x:c r="G28" s="54" t="n">
        <x:v>32</x:v>
      </x:c>
      <x:c r="H28" s="54" t="str">
        <x:v>Synthetic test value; verify context and exact span.</x:v>
      </x:c>
    </x:row>
    <x:row r="29" ht="24" customHeight="1">
      <x:c r="A29" s="54" t="str">
        <x:v>PII-014</x:v>
      </x:c>
      <x:c r="B29" s="54" t="n">
        <x:v>2</x:v>
      </x:c>
      <x:c r="C29" s="54" t="str">
        <x:v>neel.demo@example.test</x:v>
      </x:c>
      <x:c r="D29" s="54" t="str">
        <x:v>EMAIL</x:v>
      </x:c>
      <x:c r="E29" s="54" t="str">
        <x:v>[EMAIL REDACTED]</x:v>
      </x:c>
      <x:c r="F29" s="54" t="n">
        <x:v>35</x:v>
      </x:c>
      <x:c r="G29" s="54" t="n">
        <x:v>57</x:v>
      </x:c>
      <x:c r="H29" s="54" t="str">
        <x:v>Synthetic test value; verify context and exact span.</x:v>
      </x:c>
    </x:row>
    <x:row r="30" ht="24" customHeight="1">
      <x:c r="A30" s="54" t="str">
        <x:v>PII-014</x:v>
      </x:c>
      <x:c r="B30" s="54" t="n">
        <x:v>3</x:v>
      </x:c>
      <x:c r="C30" s="54" t="str">
        <x:v>000098765432</x:v>
      </x:c>
      <x:c r="D30" s="54" t="str">
        <x:v>ACCOUNT_NUMBER</x:v>
      </x:c>
      <x:c r="E30" s="54" t="str">
        <x:v>[ACCOUNT NUMBER REDACTED]</x:v>
      </x:c>
      <x:c r="F30" s="54" t="n">
        <x:v>60</x:v>
      </x:c>
      <x:c r="G30" s="54" t="n">
        <x:v>72</x:v>
      </x:c>
      <x:c r="H30" s="54" t="str">
        <x:v>Synthetic test value; verify context and exact span.</x:v>
      </x:c>
    </x:row>
    <x:row r="31" ht="24" customHeight="1">
      <x:c r="A31" s="54" t="str">
        <x:v>PII-017</x:v>
      </x:c>
      <x:c r="B31" s="54" t="n">
        <x:v>1</x:v>
      </x:c>
      <x:c r="C31" s="54" t="str">
        <x:v>Sana Rao</x:v>
      </x:c>
      <x:c r="D31" s="54" t="str">
        <x:v>PERSON_NAME</x:v>
      </x:c>
      <x:c r="E31" s="54" t="str">
        <x:v>[NAME REDACTED]</x:v>
      </x:c>
      <x:c r="F31" s="54" t="n">
        <x:v>15</x:v>
      </x:c>
      <x:c r="G31" s="54" t="n">
        <x:v>23</x:v>
      </x:c>
      <x:c r="H31" s="54" t="str">
        <x:v>Synthetic test value; verify context and exact span.</x:v>
      </x:c>
    </x:row>
    <x:row r="32" ht="24" customHeight="1">
      <x:c r="A32" s="54" t="str">
        <x:v>PII-017</x:v>
      </x:c>
      <x:c r="B32" s="54" t="n">
        <x:v>2</x:v>
      </x:c>
      <x:c r="C32" s="54" t="str">
        <x:v>sana.rao@example.test</x:v>
      </x:c>
      <x:c r="D32" s="54" t="str">
        <x:v>EMAIL</x:v>
      </x:c>
      <x:c r="E32" s="54" t="str">
        <x:v>[EMAIL REDACTED]</x:v>
      </x:c>
      <x:c r="F32" s="54" t="n">
        <x:v>27</x:v>
      </x:c>
      <x:c r="G32" s="54" t="n">
        <x:v>48</x:v>
      </x:c>
      <x:c r="H32" s="54" t="str">
        <x:v>Synthetic test value; verify context and exact span.</x:v>
      </x:c>
    </x:row>
    <x:row r="33" ht="24" customHeight="1">
      <x:c r="A33" s="54" t="str">
        <x:v>PII-017</x:v>
      </x:c>
      <x:c r="B33" s="54" t="n">
        <x:v>3</x:v>
      </x:c>
      <x:c r="C33" s="54" t="str">
        <x:v>+91 90000 00000</x:v>
      </x:c>
      <x:c r="D33" s="54" t="str">
        <x:v>PHONE_NUMBER</x:v>
      </x:c>
      <x:c r="E33" s="54" t="str">
        <x:v>[PHONE REDACTED]</x:v>
      </x:c>
      <x:c r="F33" s="54" t="n">
        <x:v>52</x:v>
      </x:c>
      <x:c r="G33" s="54" t="n">
        <x:v>67</x:v>
      </x:c>
      <x:c r="H33" s="54" t="str">
        <x:v>Synthetic test value; verify context and exact span.</x:v>
      </x:c>
    </x:row>
    <x:row r="34" ht="24" customHeight="1">
      <x:c r="A34" s="54" t="str">
        <x:v>PII-018</x:v>
      </x:c>
      <x:c r="B34" s="54" t="n">
        <x:v>1</x:v>
      </x:c>
      <x:c r="C34" s="54" t="str">
        <x:v>Isha Example</x:v>
      </x:c>
      <x:c r="D34" s="54" t="str">
        <x:v>PERSON_NAME</x:v>
      </x:c>
      <x:c r="E34" s="54" t="str">
        <x:v>[NAME REDACTED]</x:v>
      </x:c>
      <x:c r="F34" s="54" t="n">
        <x:v>11</x:v>
      </x:c>
      <x:c r="G34" s="54" t="n">
        <x:v>23</x:v>
      </x:c>
      <x:c r="H34" s="54" t="str">
        <x:v>Synthetic test value; verify context and exact span.</x:v>
      </x:c>
    </x:row>
    <x:row r="35" ht="24" customHeight="1">
      <x:c r="A35" s="54" t="str">
        <x:v>PII-018</x:v>
      </x:c>
      <x:c r="B35" s="54" t="n">
        <x:v>2</x:v>
      </x:c>
      <x:c r="C35" s="54" t="str">
        <x:v>TEST-PASSPORT-009</x:v>
      </x:c>
      <x:c r="D35" s="54" t="str">
        <x:v>GOVERNMENT_ID_STYLE</x:v>
      </x:c>
      <x:c r="E35" s="54" t="str">
        <x:v>[GOVERNMENT ID REDACTED]</x:v>
      </x:c>
      <x:c r="F35" s="54" t="n">
        <x:v>45</x:v>
      </x:c>
      <x:c r="G35" s="54" t="n">
        <x:v>62</x:v>
      </x:c>
      <x:c r="H35" s="54" t="str">
        <x:v>Synthetic test value; verify context and exact span.</x:v>
      </x:c>
    </x:row>
    <x:row r="36" ht="24" customHeight="1">
      <x:c r="A36" s="54" t="str">
        <x:v>PII-019</x:v>
      </x:c>
      <x:c r="B36" s="54" t="n">
        <x:v>1</x:v>
      </x:c>
      <x:c r="C36" s="54" t="str">
        <x:v>Kiran Demo</x:v>
      </x:c>
      <x:c r="D36" s="54" t="str">
        <x:v>PERSON_NAME</x:v>
      </x:c>
      <x:c r="E36" s="54" t="str">
        <x:v>[NAME REDACTED]</x:v>
      </x:c>
      <x:c r="F36" s="54" t="n">
        <x:v>18</x:v>
      </x:c>
      <x:c r="G36" s="54" t="n">
        <x:v>28</x:v>
      </x:c>
      <x:c r="H36" s="54" t="str">
        <x:v>Synthetic test value; verify context and exact span.</x:v>
      </x:c>
    </x:row>
    <x:row r="37" ht="24" customHeight="1">
      <x:c r="A37" s="54" t="str">
        <x:v>PII-019</x:v>
      </x:c>
      <x:c r="B37" s="54" t="n">
        <x:v>2</x:v>
      </x:c>
      <x:c r="C37" s="54" t="str">
        <x:v>kiran.demo@example.test</x:v>
      </x:c>
      <x:c r="D37" s="54" t="str">
        <x:v>EMAIL</x:v>
      </x:c>
      <x:c r="E37" s="54" t="str">
        <x:v>[EMAIL REDACTED]</x:v>
      </x:c>
      <x:c r="F37" s="54" t="n">
        <x:v>47</x:v>
      </x:c>
      <x:c r="G37" s="54" t="n">
        <x:v>70</x:v>
      </x:c>
      <x:c r="H37" s="54" t="str">
        <x:v>Synthetic test value; verify context and exact span.</x:v>
      </x:c>
    </x:row>
    <x:row r="38" ht="24" customHeight="1">
      <x:c r="A38" s="54" t="str">
        <x:v>PII-020</x:v>
      </x:c>
      <x:c r="B38" s="54" t="n">
        <x:v>1</x:v>
      </x:c>
      <x:c r="C38" s="54" t="str">
        <x:v>R1YA SAMPLE</x:v>
      </x:c>
      <x:c r="D38" s="54" t="str">
        <x:v>PERSON_NAME</x:v>
      </x:c>
      <x:c r="E38" s="54" t="str">
        <x:v>[NAME REDACTED]</x:v>
      </x:c>
      <x:c r="F38" s="54" t="n">
        <x:v>10</x:v>
      </x:c>
      <x:c r="G38" s="54" t="n">
        <x:v>21</x:v>
      </x:c>
      <x:c r="H38" s="54" t="str">
        <x:v>Synthetic test value; verify context and exact span.</x:v>
      </x:c>
    </x:row>
    <x:row r="39" ht="24" customHeight="1">
      <x:c r="A39" s="54" t="str">
        <x:v>PII-020</x:v>
      </x:c>
      <x:c r="B39" s="54" t="n">
        <x:v>2</x:v>
      </x:c>
      <x:c r="C39" s="54" t="str">
        <x:v>riya.sample@example.test</x:v>
      </x:c>
      <x:c r="D39" s="54" t="str">
        <x:v>EMAIL</x:v>
      </x:c>
      <x:c r="E39" s="54" t="str">
        <x:v>[EMAIL REDACTED]</x:v>
      </x:c>
      <x:c r="F39" s="54" t="n">
        <x:v>30</x:v>
      </x:c>
      <x:c r="G39" s="54" t="n">
        <x:v>54</x:v>
      </x:c>
      <x:c r="H39" s="54" t="str">
        <x:v>Synthetic test value; verify context and exact span.</x:v>
      </x:c>
    </x:row>
    <x:row r="40" ht="24" customHeight="1">
      <x:c r="A40" s="54" t="str">
        <x:v>PII-021</x:v>
      </x:c>
      <x:c r="B40" s="54" t="n">
        <x:v>1</x:v>
      </x:c>
      <x:c r="C40" s="54" t="str">
        <x:v>Priya Demo</x:v>
      </x:c>
      <x:c r="D40" s="54" t="str">
        <x:v>PERSON_NAME</x:v>
      </x:c>
      <x:c r="E40" s="54" t="str">
        <x:v>[NAME REDACTED]</x:v>
      </x:c>
      <x:c r="F40" s="54" t="n">
        <x:v>13</x:v>
      </x:c>
      <x:c r="G40" s="54" t="n">
        <x:v>23</x:v>
      </x:c>
      <x:c r="H40" s="54" t="str">
        <x:v>Synthetic test value; verify context and exact span.</x:v>
      </x:c>
    </x:row>
    <x:row r="41" ht="24" customHeight="1">
      <x:c r="A41" s="54" t="str">
        <x:v>PII-021</x:v>
      </x:c>
      <x:c r="B41" s="54" t="n">
        <x:v>2</x:v>
      </x:c>
      <x:c r="C41" s="54" t="str">
        <x:v>priya.demo@example.test</x:v>
      </x:c>
      <x:c r="D41" s="54" t="str">
        <x:v>EMAIL</x:v>
      </x:c>
      <x:c r="E41" s="54" t="str">
        <x:v>[EMAIL REDACTED]</x:v>
      </x:c>
      <x:c r="F41" s="54" t="n">
        <x:v>47</x:v>
      </x:c>
      <x:c r="G41" s="54" t="n">
        <x:v>70</x:v>
      </x:c>
      <x:c r="H41" s="54" t="str">
        <x:v>Synthetic test value; verify context and exact span.</x:v>
      </x:c>
    </x:row>
    <x:row r="42" ht="24" customHeight="1">
      <x:c r="A42" s="54" t="str">
        <x:v>PII-022</x:v>
      </x:c>
      <x:c r="B42" s="54" t="n">
        <x:v>1</x:v>
      </x:c>
      <x:c r="C42" s="54" t="str">
        <x:v>Anil Sample</x:v>
      </x:c>
      <x:c r="D42" s="54" t="str">
        <x:v>PERSON_NAME</x:v>
      </x:c>
      <x:c r="E42" s="54" t="str">
        <x:v>[NAME REDACTED]</x:v>
      </x:c>
      <x:c r="F42" s="54" t="n">
        <x:v>9</x:v>
      </x:c>
      <x:c r="G42" s="54" t="n">
        <x:v>20</x:v>
      </x:c>
      <x:c r="H42" s="54" t="str">
        <x:v>Synthetic test value; verify context and exact span.</x:v>
      </x:c>
    </x:row>
    <x:row r="43" ht="24" customHeight="1">
      <x:c r="A43" s="54" t="str">
        <x:v>PII-022</x:v>
      </x:c>
      <x:c r="B43" s="54" t="n">
        <x:v>2</x:v>
      </x:c>
      <x:c r="C43" s="54" t="str">
        <x:v>EMP-TEST-101</x:v>
      </x:c>
      <x:c r="D43" s="54" t="str">
        <x:v>EMPLOYEE_ID</x:v>
      </x:c>
      <x:c r="E43" s="54" t="str">
        <x:v>[EMPLOYEE ID REDACTED]</x:v>
      </x:c>
      <x:c r="F43" s="54" t="n">
        <x:v>22</x:v>
      </x:c>
      <x:c r="G43" s="54" t="n">
        <x:v>34</x:v>
      </x:c>
      <x:c r="H43" s="54" t="str">
        <x:v>Synthetic test value; verify context and exact span.</x:v>
      </x:c>
    </x:row>
    <x:row r="44" ht="24" customHeight="1">
      <x:c r="A44" s="54" t="str">
        <x:v>PII-022</x:v>
      </x:c>
      <x:c r="B44" s="54" t="n">
        <x:v>3</x:v>
      </x:c>
      <x:c r="C44" s="54" t="str">
        <x:v>Meera Demo</x:v>
      </x:c>
      <x:c r="D44" s="54" t="str">
        <x:v>PERSON_NAME</x:v>
      </x:c>
      <x:c r="E44" s="54" t="str">
        <x:v>[NAME REDACTED]</x:v>
      </x:c>
      <x:c r="F44" s="54" t="n">
        <x:v>60</x:v>
      </x:c>
      <x:c r="G44" s="54" t="n">
        <x:v>70</x:v>
      </x:c>
      <x:c r="H44" s="54" t="str">
        <x:v>Synthetic test value; verify context and exact span.</x:v>
      </x:c>
    </x:row>
    <x:row r="45" ht="24" customHeight="1">
      <x:c r="A45" s="54" t="str">
        <x:v>PII-022</x:v>
      </x:c>
      <x:c r="B45" s="54" t="n">
        <x:v>4</x:v>
      </x:c>
      <x:c r="C45" s="54" t="str">
        <x:v>EMP-TEST-102</x:v>
      </x:c>
      <x:c r="D45" s="54" t="str">
        <x:v>EMPLOYEE_ID</x:v>
      </x:c>
      <x:c r="E45" s="54" t="str">
        <x:v>[EMPLOYEE ID REDACTED]</x:v>
      </x:c>
      <x:c r="F45" s="54" t="n">
        <x:v>72</x:v>
      </x:c>
      <x:c r="G45" s="54" t="n">
        <x:v>84</x:v>
      </x:c>
      <x:c r="H45" s="54" t="str">
        <x:v>Synthetic test value; verify context and exact span.</x:v>
      </x:c>
    </x:row>
    <x:row r="46" ht="24" customHeight="1">
      <x:c r="A46" s="54" t="str">
        <x:v>PII-024</x:v>
      </x:c>
      <x:c r="B46" s="54" t="n">
        <x:v>1</x:v>
      </x:c>
      <x:c r="C46" s="54" t="str">
        <x:v>Omar Example</x:v>
      </x:c>
      <x:c r="D46" s="54" t="str">
        <x:v>PERSON_NAME</x:v>
      </x:c>
      <x:c r="E46" s="54" t="str">
        <x:v>[NAME REDACTED]</x:v>
      </x:c>
      <x:c r="F46" s="54" t="n">
        <x:v>17</x:v>
      </x:c>
      <x:c r="G46" s="54" t="n">
        <x:v>29</x:v>
      </x:c>
      <x:c r="H46" s="54" t="str">
        <x:v>Synthetic test value; verify context and exact span.</x:v>
      </x:c>
    </x:row>
    <x:row r="47" ht="24" customHeight="1">
      <x:c r="A47" s="54" t="str">
        <x:v>PII-024</x:v>
      </x:c>
      <x:c r="B47" s="54" t="n">
        <x:v>2</x:v>
      </x:c>
      <x:c r="C47" s="54" t="str">
        <x:v>+91 (90000) 00000</x:v>
      </x:c>
      <x:c r="D47" s="54" t="str">
        <x:v>PHONE_NUMBER</x:v>
      </x:c>
      <x:c r="E47" s="54" t="str">
        <x:v>[PHONE REDACTED]</x:v>
      </x:c>
      <x:c r="F47" s="54" t="n">
        <x:v>42</x:v>
      </x:c>
      <x:c r="G47" s="54" t="n">
        <x:v>59</x:v>
      </x:c>
      <x:c r="H47" s="54" t="str">
        <x:v>Synthetic test value; verify context and exact span.</x:v>
      </x:c>
    </x:row>
    <x:row r="48" ht="24" customHeight="1">
      <x:c r="A48" s="54" t="str">
        <x:v>PII-025</x:v>
      </x:c>
      <x:c r="B48" s="54" t="n">
        <x:v>1</x:v>
      </x:c>
      <x:c r="C48" s="54" t="str">
        <x:v>QAZWS1234M</x:v>
      </x:c>
      <x:c r="D48" s="54" t="str">
        <x:v>TAX_ID_PAN_STYLE</x:v>
      </x:c>
      <x:c r="E48" s="54" t="str">
        <x:v>[TAX ID REDACTED]</x:v>
      </x:c>
      <x:c r="F48" s="54" t="n">
        <x:v>44</x:v>
      </x:c>
      <x:c r="G48" s="54" t="n">
        <x:v>54</x:v>
      </x:c>
      <x:c r="H48" s="54" t="str">
        <x:v>Synthetic test value; verify context and exact span.</x:v>
      </x:c>
    </x:row>
    <x:row r="49" ht="24" customHeight="1">
      <x:c r="A49" s="54" t="str">
        <x:v>PII-026</x:v>
      </x:c>
      <x:c r="B49" s="54" t="n">
        <x:v>1</x:v>
      </x:c>
      <x:c r="C49" s="54" t="str">
        <x:v>Dev Sample</x:v>
      </x:c>
      <x:c r="D49" s="54" t="str">
        <x:v>PERSON_NAME</x:v>
      </x:c>
      <x:c r="E49" s="54" t="str">
        <x:v>[NAME REDACTED]</x:v>
      </x:c>
      <x:c r="F49" s="54" t="n">
        <x:v>14</x:v>
      </x:c>
      <x:c r="G49" s="54" t="n">
        <x:v>24</x:v>
      </x:c>
      <x:c r="H49" s="54" t="str">
        <x:v>Synthetic test value; verify context and exact span.</x:v>
      </x:c>
    </x:row>
    <x:row r="50" ht="24" customHeight="1">
      <x:c r="A50" s="54" t="str">
        <x:v>PII-026</x:v>
      </x:c>
      <x:c r="B50" s="54" t="n">
        <x:v>2</x:v>
      </x:c>
      <x:c r="C50" s="54" t="str">
        <x:v>000045670089</x:v>
      </x:c>
      <x:c r="D50" s="54" t="str">
        <x:v>ACCOUNT_NUMBER</x:v>
      </x:c>
      <x:c r="E50" s="54" t="str">
        <x:v>[ACCOUNT NUMBER REDACTED]</x:v>
      </x:c>
      <x:c r="F50" s="54" t="n">
        <x:v>31</x:v>
      </x:c>
      <x:c r="G50" s="54" t="n">
        <x:v>43</x:v>
      </x:c>
      <x:c r="H50" s="54" t="str">
        <x:v>Synthetic test value; verify context and exact span.</x:v>
      </x:c>
    </x:row>
    <x:row r="51" ht="24" customHeight="1">
      <x:c r="A51" s="54" t="str">
        <x:v>PII-028</x:v>
      </x:c>
      <x:c r="B51" s="54" t="n">
        <x:v>1</x:v>
      </x:c>
      <x:c r="C51" s="54" t="str">
        <x:v>Leena Sample</x:v>
      </x:c>
      <x:c r="D51" s="54" t="str">
        <x:v>PERSON_NAME</x:v>
      </x:c>
      <x:c r="E51" s="54" t="str">
        <x:v>[NAME REDACTED]</x:v>
      </x:c>
      <x:c r="F51" s="54" t="n">
        <x:v>15</x:v>
      </x:c>
      <x:c r="G51" s="54" t="n">
        <x:v>27</x:v>
      </x:c>
      <x:c r="H51" s="54" t="str">
        <x:v>Synthetic test value; verify context and exact span.</x:v>
      </x:c>
    </x:row>
    <x:row r="52" ht="24" customHeight="1">
      <x:c r="A52" s="54" t="str">
        <x:v>PII-028</x:v>
      </x:c>
      <x:c r="B52" s="54" t="n">
        <x:v>2</x:v>
      </x:c>
      <x:c r="C52" s="54" t="str">
        <x:v>8 Fictional Crescent, Example District, Chennai 600000</x:v>
      </x:c>
      <x:c r="D52" s="54" t="str">
        <x:v>ADDRESS</x:v>
      </x:c>
      <x:c r="E52" s="54" t="str">
        <x:v>[ADDRESS REDACTED]</x:v>
      </x:c>
      <x:c r="F52" s="54" t="n">
        <x:v>37</x:v>
      </x:c>
      <x:c r="G52" s="54" t="n">
        <x:v>91</x:v>
      </x:c>
      <x:c r="H52" s="54" t="str">
        <x:v>Synthetic test value; verify context and exact span.</x:v>
      </x:c>
    </x:row>
    <x:row r="53" ht="24" customHeight="1">
      <x:c r="A53" s="54" t="str">
        <x:v>PII-028</x:v>
      </x:c>
      <x:c r="B53" s="54" t="n">
        <x:v>3</x:v>
      </x:c>
      <x:c r="C53" s="54" t="str">
        <x:v>QWERT0000Z</x:v>
      </x:c>
      <x:c r="D53" s="54" t="str">
        <x:v>TAX_ID_PAN_STYLE</x:v>
      </x:c>
      <x:c r="E53" s="54" t="str">
        <x:v>[TAX ID REDACTED]</x:v>
      </x:c>
      <x:c r="F53" s="54" t="n">
        <x:v>101</x:v>
      </x:c>
      <x:c r="G53" s="54" t="n">
        <x:v>111</x:v>
      </x:c>
      <x:c r="H53" s="54" t="str">
        <x:v>Synthetic test value; verify context and exact span.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0b30fd44f5443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44" hidden="0" customWidth="1"/>
    <x:col min="3" max="3" width="62" hidden="0" customWidth="1"/>
    <x:col min="4" max="4" width="62" hidden="0" customWidth="1"/>
  </x:cols>
  <x:sheetData>
    <x:row r="1" ht="30" customHeight="1">
      <x:c r="A1" s="39" t="str">
        <x:v>Coverage Guide — What This Benchmark Tests</x:v>
      </x:c>
      <x:c r="B1" s="39"/>
      <x:c r="C1" s="39"/>
      <x:c r="D1" s="39"/>
    </x:row>
    <x:row r="3" ht="36" customHeight="1">
      <x:c r="A3" s="21" t="str">
        <x:v>Capability</x:v>
      </x:c>
      <x:c r="B3" s="21" t="str">
        <x:v>Covered by test cases</x:v>
      </x:c>
      <x:c r="C3" s="21" t="str">
        <x:v>What a good result looks like</x:v>
      </x:c>
      <x:c r="D3" s="21" t="str">
        <x:v>Limitation / follow-up test</x:v>
      </x:c>
    </x:row>
    <x:row r="4" ht="48" customHeight="1">
      <x:c r="A4" s="54" t="str">
        <x:v>Person-name detection</x:v>
      </x:c>
      <x:c r="B4" s="54" t="str">
        <x:v>PII-001, 006, 007, 008, 011, 013, 014, 017, 018, 019, 020, 021, 022, 024, 026, 028</x:v>
      </x:c>
      <x:c r="C4" s="54" t="str">
        <x:v>All expected person-name spans are identified and redacted; no names are fabricated.</x:v>
      </x:c>
      <x:c r="D4" s="54" t="str">
        <x:v>NER/context behavior should be separately tested with more names and ambiguous contexts.</x:v>
      </x:c>
    </x:row>
    <x:row r="5" ht="48" customHeight="1">
      <x:c r="A5" s="54" t="str">
        <x:v>Email detection</x:v>
      </x:c>
      <x:c r="B5" s="54" t="str">
        <x:v>PII-001, 006, 011, 014, 017, 019, 020, 021</x:v>
      </x:c>
      <x:c r="C5" s="54" t="str">
        <x:v>All synthetic email addresses are detected and replaced.</x:v>
      </x:c>
      <x:c r="D5" s="54" t="str">
        <x:v>This benchmark uses example.test addresses; test Unicode and unusual formats separately.</x:v>
      </x:c>
    </x:row>
    <x:row r="6" ht="48" customHeight="1">
      <x:c r="A6" s="54" t="str">
        <x:v>Phone detection</x:v>
      </x:c>
      <x:c r="B6" s="54" t="str">
        <x:v>PII-001, 011, 013, 017, 024</x:v>
      </x:c>
      <x:c r="C6" s="54" t="str">
        <x:v>Phone formats with country codes and punctuation are detected.</x:v>
      </x:c>
      <x:c r="D6" s="54" t="str">
        <x:v>The benchmark phone numbers are synthetic; do not call or message them.</x:v>
      </x:c>
    </x:row>
    <x:row r="7" ht="48" customHeight="1">
      <x:c r="A7" s="54" t="str">
        <x:v>Account identifier detection</x:v>
      </x:c>
      <x:c r="B7" s="54" t="str">
        <x:v>PII-002, 014, 026</x:v>
      </x:c>
      <x:c r="C7" s="54" t="str">
        <x:v>Unmasked account-like values are removed; already masked partial values are retained.</x:v>
      </x:c>
      <x:c r="D7" s="54" t="str">
        <x:v>Validate the account-number patterns against the actual policy and false-positive tolerance.</x:v>
      </x:c>
    </x:row>
    <x:row r="8" ht="48" customHeight="1">
      <x:c r="A8" s="54" t="str">
        <x:v>Government/tax identifier detection</x:v>
      </x:c>
      <x:c r="B8" s="54" t="str">
        <x:v>PII-003, 004, 018, 025, 028</x:v>
      </x:c>
      <x:c r="C8" s="54" t="str">
        <x:v>Labelled identifier spans are detected and redacted.</x:v>
      </x:c>
      <x:c r="D8" s="54" t="str">
        <x:v>Synthetic pattern matches do not establish that an identifier is real or issued.</x:v>
      </x:c>
    </x:row>
    <x:row r="9" ht="48" customHeight="1">
      <x:c r="A9" s="54" t="str">
        <x:v>Address detection</x:v>
      </x:c>
      <x:c r="B9" s="54" t="str">
        <x:v>PII-005, 028</x:v>
      </x:c>
      <x:c r="C9" s="54" t="str">
        <x:v>The full address span is redacted while surrounding text is preserved.</x:v>
      </x:c>
      <x:c r="D9" s="54" t="str">
        <x:v>Try multi-line addresses, international formats, and OCR errors.</x:v>
      </x:c>
    </x:row>
    <x:row r="10" ht="48" customHeight="1">
      <x:c r="A10" s="54" t="str">
        <x:v>Employee ID detection</x:v>
      </x:c>
      <x:c r="B10" s="54" t="str">
        <x:v>PII-006, 022</x:v>
      </x:c>
      <x:c r="C10" s="54" t="str">
        <x:v>Employee IDs are removed; punctuation and parentheses remain.</x:v>
      </x:c>
      <x:c r="D10" s="54" t="str">
        <x:v>Try organization-specific employee-ID formats where approved.</x:v>
      </x:c>
    </x:row>
    <x:row r="11" ht="48" customHeight="1">
      <x:c r="A11" s="54" t="str">
        <x:v>DOB detection with context</x:v>
      </x:c>
      <x:c r="B11" s="54" t="str">
        <x:v>PII-007</x:v>
      </x:c>
      <x:c r="C11" s="54" t="str">
        <x:v>DOB adjacent to a clear label is redacted, while unrelated dates remain unchanged.</x:v>
      </x:c>
      <x:c r="D11" s="54" t="str">
        <x:v>Date-of-birth classification should use context; not every date is PII.</x:v>
      </x:c>
    </x:row>
    <x:row r="12" ht="48" customHeight="1">
      <x:c r="A12" s="54" t="str">
        <x:v>False-positive resistance</x:v>
      </x:c>
      <x:c r="B12" s="54" t="str">
        <x:v>PII-009, 010, 012, 015, 016, 023, 027</x:v>
      </x:c>
      <x:c r="C12" s="54" t="str">
        <x:v>No PII is reported, and the input remains unchanged.</x:v>
      </x:c>
      <x:c r="D12" s="54" t="str">
        <x:v>Expand negative examples to include policy titles, organizations, version numbers, and technical data.</x:v>
      </x:c>
    </x:row>
    <x:row r="13" ht="48" customHeight="1">
      <x:c r="A13" s="54" t="str">
        <x:v>Repeated entity redaction</x:v>
      </x:c>
      <x:c r="B13" s="54" t="str">
        <x:v>PII-008</x:v>
      </x:c>
      <x:c r="C13" s="54" t="str">
        <x:v>Both occurrences of the same name are redacted.</x:v>
      </x:c>
      <x:c r="D13" s="54" t="str">
        <x:v>The ground truth includes two name occurrences in this case.</x:v>
      </x:c>
    </x:row>
    <x:row r="14" ht="48" customHeight="1">
      <x:c r="A14" s="54" t="str">
        <x:v>Table-like and key-value text</x:v>
      </x:c>
      <x:c r="B14" s="54" t="str">
        <x:v>PII-014, 026</x:v>
      </x:c>
      <x:c r="C14" s="54" t="str">
        <x:v>Entity spans are redacted without deleting delimiters, keys or line breaks.</x:v>
      </x:c>
      <x:c r="D14" s="54" t="str">
        <x:v>This tests text structure only, not native spreadsheet redaction.</x:v>
      </x:c>
    </x:row>
    <x:row r="15" ht="48" customHeight="1">
      <x:c r="A15" s="54" t="str">
        <x:v>OCR-like text</x:v>
      </x:c>
      <x:c r="B15" s="54" t="str">
        <x:v>PII-020</x:v>
      </x:c>
      <x:c r="C15" s="54" t="str">
        <x:v>The system flags the contextual name-like span for detection or analyst review and redacts the email.</x:v>
      </x:c>
      <x:c r="D15" s="54" t="str">
        <x:v>This does not test OCR itself; run a scanned document through OCR to test extraction.</x:v>
      </x:c>
    </x:row>
    <x:row r="16" ht="48" customHeight="1">
      <x:c r="A16" s="54" t="str">
        <x:v>Document metadata text</x:v>
      </x:c>
      <x:c r="B16" s="54" t="str">
        <x:v>PII-021</x:v>
      </x:c>
      <x:c r="C16" s="54" t="str">
        <x:v>PII in extracted metadata text is identified.</x:v>
      </x:c>
      <x:c r="D16" s="54" t="str">
        <x:v>Actual embedded document metadata must be sanitized separately.</x:v>
      </x:c>
    </x:row>
    <x:row r="17" ht="48" customHeight="1">
      <x:c r="A17" s="54" t="str">
        <x:v>Exact redacted output</x:v>
      </x:c>
      <x:c r="B17" s="54" t="str">
        <x:v>All cases</x:v>
      </x:c>
      <x:c r="C17" s="54" t="str">
        <x:v>Output matches the gold redacted text exactly where exact-match policy is used.</x:v>
      </x:c>
      <x:c r="D17" s="54" t="str">
        <x:v>If the app intentionally uses a different token scheme, compare entity spans and remaining text instead.</x:v>
      </x:c>
    </x:row>
    <x:row r="18" ht="48" customHeight="1">
      <x:c r="A18" s="54" t="str">
        <x:v>OCR, layout and format preservation</x:v>
      </x:c>
      <x:c r="B18" s="54" t="str">
        <x:v>Not covered directly by text fixtures</x:v>
      </x:c>
      <x:c r="C18" s="54" t="str">
        <x:v>Use real file parsers/OCR and compare output artifacts visually and programmatically.</x:v>
      </x:c>
      <x:c r="D18" s="54" t="str">
        <x:v>Add separate synthetic PDF, scanned PDF, DOCX, PPTX, and image fixtures.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444e3b41cd842ce"/>
  </x:tableParts>
</x:worksheet>
</file>